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3.xml" ContentType="application/vnd.openxmlformats-officedocument.spreadsheetml.comments+xml"/>
  <Override PartName="/xl/drawings/drawing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style1.xml" ContentType="application/vnd.ms-office.chartstyle+xml"/>
  <Override PartName="/xl/charts/colors1.xml" ContentType="application/vnd.ms-office.chartcolorstyle+xml"/>
  <Override PartName="/xl/charts/chart4.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Mac\Home\Documents\kstu\dev\mo\lab_9\"/>
    </mc:Choice>
  </mc:AlternateContent>
  <bookViews>
    <workbookView xWindow="0" yWindow="0" windowWidth="28800" windowHeight="18000" activeTab="3"/>
  </bookViews>
  <sheets>
    <sheet name="sheet1" sheetId="1" r:id="rId1"/>
    <sheet name="sheet2" sheetId="2" r:id="rId2"/>
    <sheet name="sheet3" sheetId="3" r:id="rId3"/>
    <sheet name="sheet4" sheetId="4" r:id="rId4"/>
    <sheet name="sheet5" sheetId="5" r:id="rId5"/>
  </sheets>
  <calcPr calcId="152511" iterate="1"/>
</workbook>
</file>

<file path=xl/calcChain.xml><?xml version="1.0" encoding="utf-8"?>
<calcChain xmlns="http://schemas.openxmlformats.org/spreadsheetml/2006/main">
  <c r="I7" i="4" l="1"/>
  <c r="L6" i="4" l="1"/>
  <c r="K67" i="1"/>
  <c r="J67" i="1" s="1"/>
  <c r="I67" i="1"/>
  <c r="K66" i="1"/>
  <c r="J66" i="1" s="1"/>
  <c r="I66" i="1"/>
  <c r="K65" i="1"/>
  <c r="J65" i="1" s="1"/>
  <c r="I65" i="1"/>
  <c r="K64" i="1"/>
  <c r="J64" i="1" s="1"/>
  <c r="I64" i="1"/>
  <c r="K63" i="1"/>
  <c r="J63" i="1"/>
  <c r="I63" i="1"/>
  <c r="K62" i="1"/>
  <c r="J62" i="1" s="1"/>
  <c r="I62" i="1"/>
  <c r="K61" i="1"/>
  <c r="J61" i="1" s="1"/>
  <c r="I61" i="1"/>
  <c r="K60" i="1"/>
  <c r="J60" i="1" s="1"/>
  <c r="I60" i="1"/>
  <c r="K59" i="1"/>
  <c r="J59" i="1"/>
  <c r="I59" i="1"/>
  <c r="K58" i="1"/>
  <c r="J58" i="1" s="1"/>
  <c r="I58" i="1"/>
  <c r="K57" i="1"/>
  <c r="J57" i="1"/>
  <c r="I57" i="1"/>
  <c r="K56" i="1"/>
  <c r="J56" i="1" s="1"/>
  <c r="I56" i="1"/>
  <c r="K55" i="1"/>
  <c r="J55" i="1"/>
  <c r="I55" i="1"/>
  <c r="K54" i="1"/>
  <c r="J54" i="1" s="1"/>
  <c r="I54" i="1"/>
  <c r="K53" i="1"/>
  <c r="J53" i="1"/>
  <c r="I53" i="1"/>
  <c r="K52" i="1"/>
  <c r="J52" i="1" s="1"/>
  <c r="I52" i="1"/>
  <c r="K51" i="1"/>
  <c r="J51" i="1"/>
  <c r="I51" i="1"/>
  <c r="K50" i="1"/>
  <c r="J50" i="1" s="1"/>
  <c r="I50" i="1"/>
  <c r="K49" i="1"/>
  <c r="J49" i="1" s="1"/>
  <c r="I49" i="1"/>
  <c r="K48" i="1"/>
  <c r="J48" i="1" s="1"/>
  <c r="I48" i="1"/>
  <c r="K47" i="1"/>
  <c r="J47" i="1"/>
  <c r="I47" i="1"/>
  <c r="K46" i="1"/>
  <c r="J46" i="1" s="1"/>
  <c r="I46" i="1"/>
  <c r="K45" i="1"/>
  <c r="J45" i="1" s="1"/>
  <c r="I45" i="1"/>
  <c r="K44" i="1"/>
  <c r="J44" i="1" s="1"/>
  <c r="I44" i="1"/>
  <c r="K43" i="1"/>
  <c r="J43" i="1"/>
  <c r="I43" i="1"/>
  <c r="K42" i="1"/>
  <c r="J42" i="1" s="1"/>
  <c r="I42" i="1"/>
  <c r="K41" i="1"/>
  <c r="J41" i="1"/>
  <c r="I41" i="1"/>
  <c r="K40" i="1"/>
  <c r="J40" i="1" s="1"/>
  <c r="I40" i="1"/>
  <c r="K39" i="1"/>
  <c r="J39" i="1"/>
  <c r="I39" i="1"/>
  <c r="K38" i="1"/>
  <c r="J38" i="1" s="1"/>
  <c r="I38" i="1"/>
  <c r="K37" i="1"/>
  <c r="J37" i="1"/>
  <c r="I37" i="1"/>
  <c r="K36" i="1"/>
  <c r="J36" i="1" s="1"/>
  <c r="I36" i="1"/>
  <c r="K35" i="1"/>
  <c r="J35" i="1"/>
  <c r="I35" i="1"/>
  <c r="K34" i="1"/>
  <c r="J34" i="1" s="1"/>
  <c r="I34" i="1"/>
  <c r="K33" i="1"/>
  <c r="J33" i="1" s="1"/>
  <c r="I33" i="1"/>
  <c r="K32" i="1"/>
  <c r="J32" i="1" s="1"/>
  <c r="I32" i="1"/>
  <c r="K31" i="1"/>
  <c r="J31" i="1"/>
  <c r="I31" i="1"/>
  <c r="K30" i="1"/>
  <c r="J30" i="1" s="1"/>
  <c r="I30" i="1"/>
  <c r="K29" i="1"/>
  <c r="J29" i="1" s="1"/>
  <c r="I29" i="1"/>
  <c r="K28" i="1"/>
  <c r="J28" i="1" s="1"/>
  <c r="I28" i="1"/>
  <c r="K27" i="1"/>
  <c r="J27" i="1"/>
  <c r="I27" i="1"/>
  <c r="K26" i="1"/>
  <c r="J26" i="1" s="1"/>
  <c r="I26" i="1"/>
  <c r="K25" i="1"/>
  <c r="J25" i="1"/>
  <c r="I25" i="1"/>
  <c r="K24" i="1"/>
  <c r="J24" i="1" s="1"/>
  <c r="I24" i="1"/>
  <c r="K23" i="1"/>
  <c r="J23" i="1"/>
  <c r="I23" i="1"/>
  <c r="K22" i="1"/>
  <c r="J22" i="1" s="1"/>
  <c r="I22" i="1"/>
  <c r="K21" i="1"/>
  <c r="J21" i="1"/>
  <c r="I21" i="1"/>
  <c r="K20" i="1"/>
  <c r="J20" i="1" s="1"/>
  <c r="I20" i="1"/>
  <c r="K19" i="1"/>
  <c r="J19" i="1"/>
  <c r="I19" i="1"/>
  <c r="K18" i="1"/>
  <c r="J18" i="1" s="1"/>
  <c r="I18" i="1"/>
  <c r="K17" i="1"/>
  <c r="J17" i="1" s="1"/>
  <c r="I17" i="1"/>
  <c r="K16" i="1"/>
  <c r="J16" i="1" s="1"/>
  <c r="I16" i="1"/>
  <c r="K15" i="1"/>
  <c r="J15" i="1"/>
  <c r="I15" i="1"/>
  <c r="K14" i="1"/>
  <c r="J14" i="1" s="1"/>
  <c r="I14" i="1"/>
  <c r="K13" i="1"/>
  <c r="J13" i="1" s="1"/>
  <c r="I13" i="1"/>
  <c r="K12" i="1"/>
  <c r="J12" i="1" s="1"/>
  <c r="I12" i="1"/>
  <c r="K11" i="1"/>
  <c r="J11" i="1"/>
  <c r="I11" i="1"/>
  <c r="K10" i="1"/>
  <c r="J10" i="1" s="1"/>
  <c r="I10" i="1"/>
  <c r="K9" i="1"/>
  <c r="J9" i="1"/>
  <c r="I9" i="1"/>
  <c r="K8" i="1"/>
  <c r="J8" i="1" s="1"/>
  <c r="I8" i="1"/>
  <c r="K7" i="1"/>
  <c r="J7" i="1"/>
  <c r="I7" i="1"/>
  <c r="K6" i="1"/>
  <c r="J6" i="1" s="1"/>
  <c r="I6" i="1"/>
  <c r="K5" i="1"/>
  <c r="J5" i="1"/>
  <c r="I5" i="1"/>
  <c r="F4" i="3" s="1"/>
  <c r="K4" i="1"/>
  <c r="J4" i="1" s="1"/>
  <c r="I4" i="1"/>
  <c r="I14" i="4" l="1"/>
  <c r="E4" i="3"/>
  <c r="I6" i="4"/>
  <c r="H5" i="2"/>
  <c r="E5" i="2" s="1"/>
  <c r="G5" i="2" s="1"/>
  <c r="D5" i="2" l="1"/>
  <c r="F5" i="2" s="1"/>
  <c r="B6" i="2" s="1"/>
  <c r="D6" i="2" l="1"/>
  <c r="F6" i="2" s="1"/>
  <c r="C6" i="2"/>
  <c r="H6" i="2" s="1"/>
  <c r="E6" i="2" s="1"/>
  <c r="G6" i="2" s="1"/>
  <c r="B7" i="2" s="1"/>
  <c r="C7" i="2" l="1"/>
  <c r="E7" i="2"/>
  <c r="G7" i="2" s="1"/>
  <c r="H7" i="2"/>
  <c r="D7" i="2" s="1"/>
  <c r="F7" i="2" s="1"/>
  <c r="C8" i="2" l="1"/>
  <c r="E8" i="2"/>
  <c r="G8" i="2" s="1"/>
  <c r="B8" i="2"/>
  <c r="H8" i="2" l="1"/>
  <c r="D8" i="2" s="1"/>
  <c r="F8" i="2" s="1"/>
  <c r="D9" i="2" l="1"/>
  <c r="F9" i="2" s="1"/>
  <c r="B9" i="2"/>
  <c r="C9" i="2"/>
  <c r="H9" i="2" s="1"/>
  <c r="E9" i="2" l="1"/>
  <c r="G9" i="2" s="1"/>
  <c r="C10" i="2" s="1"/>
  <c r="D10" i="2" l="1"/>
  <c r="F10" i="2" s="1"/>
  <c r="B10" i="2"/>
  <c r="H10" i="2" l="1"/>
  <c r="E10" i="2" s="1"/>
  <c r="G10" i="2" s="1"/>
  <c r="C11" i="2" l="1"/>
  <c r="E11" i="2"/>
  <c r="G11" i="2" s="1"/>
  <c r="B11" i="2"/>
  <c r="H11" i="2" l="1"/>
  <c r="D11" i="2" s="1"/>
  <c r="F11" i="2" s="1"/>
  <c r="D12" i="2" l="1"/>
  <c r="F12" i="2" s="1"/>
  <c r="C12" i="2"/>
  <c r="B12" i="2"/>
  <c r="H12" i="2" l="1"/>
  <c r="E12" i="2" s="1"/>
  <c r="G12" i="2" s="1"/>
  <c r="B13" i="2" s="1"/>
  <c r="C13" i="2" l="1"/>
  <c r="H13" i="2" s="1"/>
  <c r="E13" i="2" s="1"/>
  <c r="G13" i="2" s="1"/>
  <c r="D13" i="2"/>
  <c r="F13" i="2" s="1"/>
  <c r="C14" i="2" l="1"/>
  <c r="D14" i="2"/>
  <c r="F14" i="2" s="1"/>
  <c r="B14" i="2"/>
  <c r="H14" i="2" l="1"/>
  <c r="E14" i="2" s="1"/>
  <c r="G14" i="2" s="1"/>
  <c r="E15" i="2"/>
  <c r="G15" i="2" s="1"/>
  <c r="B15" i="2"/>
  <c r="C15" i="2"/>
  <c r="H15" i="2" s="1"/>
  <c r="D15" i="2" s="1"/>
  <c r="F15" i="2" s="1"/>
  <c r="C16" i="2" l="1"/>
  <c r="E16" i="2"/>
  <c r="G16" i="2" s="1"/>
  <c r="B16" i="2"/>
  <c r="H16" i="2" l="1"/>
  <c r="D16" i="2"/>
  <c r="F16" i="2" s="1"/>
  <c r="C17" i="2" l="1"/>
  <c r="D17" i="2"/>
  <c r="F17" i="2" s="1"/>
  <c r="B17" i="2"/>
  <c r="H17" i="2" l="1"/>
  <c r="E17" i="2" s="1"/>
  <c r="G17" i="2" s="1"/>
  <c r="E18" i="2" s="1"/>
  <c r="G18" i="2" s="1"/>
  <c r="C18" i="2"/>
  <c r="B18" i="2" l="1"/>
  <c r="H18" i="2"/>
  <c r="D18" i="2" s="1"/>
  <c r="F18" i="2" s="1"/>
  <c r="B19" i="2" s="1"/>
  <c r="E19" i="2" l="1"/>
  <c r="G19" i="2" s="1"/>
  <c r="C19" i="2"/>
  <c r="H19" i="2" s="1"/>
  <c r="D19" i="2" s="1"/>
  <c r="F19" i="2" s="1"/>
  <c r="B20" i="2"/>
  <c r="D20" i="2"/>
  <c r="F20" i="2" s="1"/>
  <c r="C20" i="2"/>
  <c r="H20" i="2" s="1"/>
  <c r="E20" i="2" l="1"/>
  <c r="G20" i="2" s="1"/>
  <c r="E21" i="2" s="1"/>
  <c r="G21" i="2" s="1"/>
  <c r="B21" i="2" l="1"/>
  <c r="C21" i="2"/>
  <c r="H21" i="2" s="1"/>
  <c r="D21" i="2" s="1"/>
  <c r="F21" i="2" s="1"/>
  <c r="B4" i="3"/>
  <c r="C4" i="3"/>
  <c r="G4" i="3"/>
  <c r="I4" i="3"/>
  <c r="J4" i="3"/>
  <c r="B5" i="3"/>
  <c r="C5" i="3"/>
  <c r="D5" i="3"/>
  <c r="I5" i="3"/>
  <c r="B6" i="3"/>
  <c r="C6" i="3"/>
  <c r="D6" i="3"/>
  <c r="I6" i="3"/>
  <c r="B7" i="3"/>
  <c r="C7" i="3"/>
  <c r="D7" i="3"/>
  <c r="I7" i="3"/>
  <c r="B8" i="3"/>
  <c r="C8" i="3"/>
  <c r="D8" i="3"/>
  <c r="I8" i="3"/>
  <c r="B9" i="3"/>
  <c r="C9" i="3"/>
  <c r="D9" i="3"/>
  <c r="I9" i="3"/>
  <c r="B10" i="3"/>
  <c r="C10" i="3"/>
  <c r="D10" i="3"/>
  <c r="I10" i="3"/>
  <c r="B11" i="3"/>
  <c r="C11" i="3"/>
  <c r="D11" i="3"/>
  <c r="I11" i="3"/>
  <c r="B12" i="3"/>
  <c r="C12" i="3"/>
  <c r="D12" i="3"/>
  <c r="I12" i="3"/>
  <c r="B13" i="3"/>
  <c r="C13" i="3"/>
  <c r="D13" i="3"/>
  <c r="I13" i="3"/>
  <c r="B14" i="3"/>
  <c r="C14" i="3"/>
  <c r="D14" i="3"/>
  <c r="I14" i="3"/>
  <c r="B15" i="3"/>
  <c r="C15" i="3"/>
  <c r="D15" i="3"/>
  <c r="I15" i="3"/>
  <c r="B16" i="3"/>
  <c r="C16" i="3"/>
  <c r="D16" i="3"/>
  <c r="I16" i="3"/>
  <c r="B17" i="3"/>
  <c r="C17" i="3"/>
  <c r="D17" i="3"/>
  <c r="I17" i="3"/>
  <c r="B18" i="3"/>
  <c r="C18" i="3"/>
  <c r="D18" i="3"/>
  <c r="I18" i="3"/>
  <c r="B19" i="3"/>
  <c r="C19" i="3"/>
  <c r="D19" i="3"/>
  <c r="I19" i="3"/>
  <c r="B20" i="3"/>
  <c r="C20" i="3"/>
  <c r="D20" i="3"/>
  <c r="I20" i="3"/>
  <c r="B21" i="3"/>
  <c r="C21" i="3"/>
  <c r="D21" i="3"/>
  <c r="I21" i="3"/>
  <c r="B22" i="3"/>
  <c r="C22" i="3"/>
  <c r="D22" i="3"/>
  <c r="I22" i="3"/>
  <c r="B23" i="3"/>
  <c r="C23" i="3"/>
  <c r="D23" i="3"/>
  <c r="I23" i="3"/>
  <c r="I24" i="3"/>
  <c r="H8" i="4"/>
  <c r="H10" i="4"/>
  <c r="I10" i="4"/>
  <c r="J10" i="4"/>
  <c r="K10" i="4"/>
  <c r="L10" i="4"/>
  <c r="M10" i="4"/>
  <c r="N10" i="4"/>
  <c r="H11" i="4"/>
  <c r="I11" i="4"/>
  <c r="J11" i="4"/>
  <c r="K11" i="4"/>
  <c r="H12" i="4"/>
  <c r="I12" i="4"/>
  <c r="J12" i="4"/>
  <c r="K12" i="4"/>
  <c r="L12" i="4"/>
  <c r="M12" i="4"/>
  <c r="N12" i="4"/>
  <c r="H13" i="4"/>
  <c r="K13" i="4"/>
  <c r="H14" i="4"/>
  <c r="H15" i="4"/>
  <c r="H16" i="4"/>
  <c r="H17" i="4"/>
  <c r="H18" i="4"/>
  <c r="H19" i="4"/>
  <c r="J21" i="4"/>
  <c r="G24" i="4"/>
  <c r="H24" i="4"/>
  <c r="I24" i="4"/>
  <c r="J24" i="4"/>
  <c r="K24" i="4"/>
</calcChain>
</file>

<file path=xl/comments1.xml><?xml version="1.0" encoding="utf-8"?>
<comments xmlns="http://schemas.openxmlformats.org/spreadsheetml/2006/main">
  <authors>
    <author>Ten</author>
    <author>ten_IG</author>
  </authors>
  <commentList>
    <comment ref="A3" authorId="0" shapeId="0">
      <text>
        <r>
          <rPr>
            <b/>
            <sz val="8"/>
            <color indexed="81"/>
            <rFont val="Tahoma"/>
            <family val="2"/>
            <charset val="204"/>
          </rPr>
          <t>Ten:</t>
        </r>
        <r>
          <rPr>
            <sz val="8"/>
            <color indexed="81"/>
            <rFont val="Tahoma"/>
            <family val="2"/>
            <charset val="204"/>
          </rPr>
          <t xml:space="preserve">
Version of Task
Вариант задания</t>
        </r>
      </text>
    </comment>
    <comment ref="D3" authorId="1" shapeId="0">
      <text>
        <r>
          <rPr>
            <b/>
            <sz val="8"/>
            <color indexed="81"/>
            <rFont val="Tahoma"/>
            <family val="2"/>
            <charset val="204"/>
          </rPr>
          <t>ten_IG:</t>
        </r>
        <r>
          <rPr>
            <sz val="8"/>
            <color indexed="81"/>
            <rFont val="Tahoma"/>
            <family val="2"/>
            <charset val="204"/>
          </rPr>
          <t xml:space="preserve">
Себестоимость//Начальная точка поиска в лаб №1, 2//
Cos//Original Searching Point in Labs no.1, 2</t>
        </r>
      </text>
    </comment>
    <comment ref="F3" authorId="1" shapeId="0">
      <text>
        <r>
          <rPr>
            <b/>
            <sz val="8"/>
            <color indexed="81"/>
            <rFont val="Tahoma"/>
            <family val="2"/>
            <charset val="204"/>
          </rPr>
          <t>ten_IG:</t>
        </r>
        <r>
          <rPr>
            <sz val="8"/>
            <color indexed="81"/>
            <rFont val="Tahoma"/>
            <family val="2"/>
            <charset val="204"/>
          </rPr>
          <t xml:space="preserve">
Допустимая погрешность решения задачи//
Tolerance of the solution</t>
        </r>
      </text>
    </comment>
    <comment ref="G3" authorId="1" shapeId="0">
      <text>
        <r>
          <rPr>
            <b/>
            <sz val="8"/>
            <color indexed="81"/>
            <rFont val="Tahoma"/>
            <family val="2"/>
            <charset val="204"/>
          </rPr>
          <t>ten_IG:</t>
        </r>
        <r>
          <rPr>
            <sz val="8"/>
            <color indexed="81"/>
            <rFont val="Tahoma"/>
            <family val="2"/>
            <charset val="204"/>
          </rPr>
          <t xml:space="preserve">
Предельная величина кредита//
The Limit of Credit value</t>
        </r>
      </text>
    </comment>
    <comment ref="I3" authorId="1" shapeId="0">
      <text>
        <r>
          <rPr>
            <b/>
            <sz val="8"/>
            <color indexed="81"/>
            <rFont val="Tahoma"/>
            <family val="2"/>
            <charset val="204"/>
          </rPr>
          <t>ten_IG:</t>
        </r>
        <r>
          <rPr>
            <sz val="8"/>
            <color indexed="81"/>
            <rFont val="Tahoma"/>
            <family val="2"/>
            <charset val="204"/>
          </rPr>
          <t xml:space="preserve">
Solution of odds labs// Решение для нечетных задач</t>
        </r>
      </text>
    </comment>
    <comment ref="J3" authorId="1" shapeId="0">
      <text>
        <r>
          <rPr>
            <b/>
            <sz val="8"/>
            <color indexed="81"/>
            <rFont val="Tahoma"/>
            <family val="2"/>
            <charset val="204"/>
          </rPr>
          <t>ten_IG:</t>
        </r>
        <r>
          <rPr>
            <sz val="8"/>
            <color indexed="81"/>
            <rFont val="Tahoma"/>
            <family val="2"/>
            <charset val="204"/>
          </rPr>
          <t xml:space="preserve">
Solution of even labs.. Решение для четных задач</t>
        </r>
      </text>
    </comment>
  </commentList>
</comments>
</file>

<file path=xl/comments2.xml><?xml version="1.0" encoding="utf-8"?>
<comments xmlns="http://schemas.openxmlformats.org/spreadsheetml/2006/main">
  <authors>
    <author>Ten</author>
    <author>ten_IG</author>
  </authors>
  <commentList>
    <comment ref="D3" authorId="0" shapeId="0">
      <text>
        <r>
          <rPr>
            <b/>
            <sz val="8"/>
            <color indexed="81"/>
            <rFont val="Tahoma"/>
            <family val="2"/>
            <charset val="204"/>
          </rPr>
          <t xml:space="preserve">Ten:
Parameter A(k) refers to "Asymptotic Error Constant" 
Параметр A(k) называется "Константа асимптотической ошибки" </t>
        </r>
      </text>
    </comment>
    <comment ref="H3" authorId="1" shapeId="0">
      <text>
        <r>
          <rPr>
            <b/>
            <sz val="8"/>
            <color indexed="81"/>
            <rFont val="Tahoma"/>
            <family val="2"/>
            <charset val="204"/>
          </rPr>
          <t>ten_IG:</t>
        </r>
        <r>
          <rPr>
            <sz val="8"/>
            <color indexed="81"/>
            <rFont val="Tahoma"/>
            <family val="2"/>
            <charset val="204"/>
          </rPr>
          <t xml:space="preserve">
Значение Sigma, которое будет выделено синим цветом это есть искомое значение параметра Sigma, необходимое для определения скорости сходимости метода оптимизации!!!</t>
        </r>
      </text>
    </comment>
  </commentList>
</comments>
</file>

<file path=xl/comments3.xml><?xml version="1.0" encoding="utf-8"?>
<comments xmlns="http://schemas.openxmlformats.org/spreadsheetml/2006/main">
  <authors>
    <author>ten_IG</author>
  </authors>
  <commentList>
    <comment ref="A6" authorId="0" shapeId="0">
      <text>
        <r>
          <rPr>
            <b/>
            <sz val="8"/>
            <color indexed="81"/>
            <rFont val="Tahoma"/>
            <family val="2"/>
            <charset val="204"/>
          </rPr>
          <t>ten_IG:</t>
        </r>
        <r>
          <rPr>
            <sz val="8"/>
            <color indexed="81"/>
            <rFont val="Tahoma"/>
            <family val="2"/>
            <charset val="204"/>
          </rPr>
          <t xml:space="preserve">
Copyrigt©2002 by Joseph Gregorievitch Ten.
This Program is property of the J.Gr. Ten.
All right reserved. Design in the Kyrgyz Republic.
Except as permitted under the Kyrgyz Republic Copyright Act of 1998, no part of this Program may be reproduced or distributed in any form or by any means, or stored in a database or retrieval system, without the prior written permission of the author Joseph Gregorievitch Ten.
Phone: +996 (3312) 42-38-53
E-mail: tenig@hotmail.com, tenig@mail.ru
http://www.ktu-pocs.elcat.kg
</t>
        </r>
      </text>
    </comment>
  </commentList>
</comments>
</file>

<file path=xl/sharedStrings.xml><?xml version="1.0" encoding="utf-8"?>
<sst xmlns="http://schemas.openxmlformats.org/spreadsheetml/2006/main" count="109" uniqueCount="90">
  <si>
    <t>№</t>
  </si>
  <si>
    <t>N</t>
  </si>
  <si>
    <t>Оптимальная Цена</t>
  </si>
  <si>
    <t xml:space="preserve"> Оптимальная Прибыль</t>
  </si>
  <si>
    <t>Оптимальный Спрос</t>
  </si>
  <si>
    <t>Оптимальный Кредит</t>
  </si>
  <si>
    <t>Задача №1: Найти максимум прибыли путем варьирования ценой рынка без учета ограничения на величину кредита.</t>
  </si>
  <si>
    <t>Прибыль=Спрос*(Цена-Себестоимость); Спрос=A/(Цена+Цена*B)^(2*D); Кредит=Себестоимость*Спрос.</t>
  </si>
  <si>
    <t>Допустимая Погрешность</t>
  </si>
  <si>
    <t>Оптимальная цена</t>
  </si>
  <si>
    <t>В исходное состояние</t>
  </si>
  <si>
    <t>Пуск программы</t>
  </si>
  <si>
    <t>alfa</t>
  </si>
  <si>
    <t>Выбор допустимой погрешности</t>
  </si>
  <si>
    <r>
      <t xml:space="preserve">Лабораторная работа №_9: Исследование </t>
    </r>
    <r>
      <rPr>
        <b/>
        <i/>
        <sz val="14"/>
        <rFont val="Arial Cyr"/>
        <charset val="204"/>
      </rPr>
      <t xml:space="preserve">метода золотого сечения </t>
    </r>
    <r>
      <rPr>
        <b/>
        <sz val="10"/>
        <rFont val="Arial Cyr"/>
        <charset val="204"/>
      </rPr>
      <t xml:space="preserve"> при решении задачи №1.</t>
    </r>
  </si>
  <si>
    <t>Программа, реализующая метод  Золотого сечения</t>
  </si>
  <si>
    <r>
      <t>a</t>
    </r>
    <r>
      <rPr>
        <b/>
        <vertAlign val="superscript"/>
        <sz val="8"/>
        <rFont val="Arial Cyr"/>
        <charset val="204"/>
      </rPr>
      <t>k</t>
    </r>
  </si>
  <si>
    <r>
      <t>b</t>
    </r>
    <r>
      <rPr>
        <b/>
        <vertAlign val="superscript"/>
        <sz val="8"/>
        <rFont val="Arial Cyr"/>
        <charset val="204"/>
      </rPr>
      <t>k</t>
    </r>
  </si>
  <si>
    <r>
      <t>c</t>
    </r>
    <r>
      <rPr>
        <b/>
        <vertAlign val="superscript"/>
        <sz val="8"/>
        <rFont val="Arial Cyr"/>
        <charset val="204"/>
      </rPr>
      <t>k</t>
    </r>
  </si>
  <si>
    <r>
      <t>d</t>
    </r>
    <r>
      <rPr>
        <b/>
        <vertAlign val="superscript"/>
        <sz val="8"/>
        <rFont val="Arial Cyr"/>
        <charset val="204"/>
      </rPr>
      <t>k</t>
    </r>
  </si>
  <si>
    <r>
      <t>h</t>
    </r>
    <r>
      <rPr>
        <b/>
        <vertAlign val="superscript"/>
        <sz val="8"/>
        <rFont val="Arial Cyr"/>
        <charset val="204"/>
      </rPr>
      <t>k</t>
    </r>
  </si>
  <si>
    <t>f(ck)</t>
  </si>
  <si>
    <t>f(dk)</t>
  </si>
  <si>
    <t>Rone=r</t>
  </si>
  <si>
    <t>Rtwo=(1-r)</t>
  </si>
  <si>
    <r>
      <t>Конечные точки начального интервала a</t>
    </r>
    <r>
      <rPr>
        <vertAlign val="superscript"/>
        <sz val="10"/>
        <rFont val="Arial Cyr"/>
        <charset val="204"/>
      </rPr>
      <t>k</t>
    </r>
    <r>
      <rPr>
        <sz val="10"/>
        <rFont val="Arial Cyr"/>
        <charset val="204"/>
      </rPr>
      <t xml:space="preserve"> , b</t>
    </r>
    <r>
      <rPr>
        <vertAlign val="superscript"/>
        <sz val="10"/>
        <rFont val="Arial Cyr"/>
        <charset val="204"/>
      </rPr>
      <t>k</t>
    </r>
  </si>
  <si>
    <t>Номер итерации k</t>
  </si>
  <si>
    <r>
      <t>Вычисление  точек a</t>
    </r>
    <r>
      <rPr>
        <vertAlign val="superscript"/>
        <sz val="10"/>
        <rFont val="Arial Cyr"/>
        <charset val="204"/>
      </rPr>
      <t>k</t>
    </r>
    <r>
      <rPr>
        <sz val="10"/>
        <rFont val="Arial Cyr"/>
        <charset val="204"/>
      </rPr>
      <t>, b</t>
    </r>
    <r>
      <rPr>
        <vertAlign val="superscript"/>
        <sz val="10"/>
        <rFont val="Arial Cyr"/>
        <charset val="204"/>
      </rPr>
      <t>k</t>
    </r>
    <r>
      <rPr>
        <sz val="10"/>
        <rFont val="Arial Cyr"/>
        <charset val="204"/>
      </rPr>
      <t>, c</t>
    </r>
    <r>
      <rPr>
        <vertAlign val="superscript"/>
        <sz val="10"/>
        <rFont val="Arial Cyr"/>
        <charset val="204"/>
      </rPr>
      <t>k</t>
    </r>
    <r>
      <rPr>
        <sz val="10"/>
        <rFont val="Arial Cyr"/>
        <charset val="204"/>
      </rPr>
      <t>, d</t>
    </r>
    <r>
      <rPr>
        <vertAlign val="superscript"/>
        <sz val="10"/>
        <rFont val="Arial Cyr"/>
        <charset val="204"/>
      </rPr>
      <t>k</t>
    </r>
    <r>
      <rPr>
        <sz val="10"/>
        <rFont val="Arial Cyr"/>
        <charset val="204"/>
      </rPr>
      <t xml:space="preserve"> </t>
    </r>
  </si>
  <si>
    <t>Вычисление целевой функции</t>
  </si>
  <si>
    <r>
      <t>Новые точки интервала  a</t>
    </r>
    <r>
      <rPr>
        <vertAlign val="superscript"/>
        <sz val="10"/>
        <rFont val="Arial Cyr"/>
        <charset val="204"/>
      </rPr>
      <t>k+1</t>
    </r>
    <r>
      <rPr>
        <sz val="10"/>
        <rFont val="Arial Cyr"/>
        <charset val="204"/>
      </rPr>
      <t>, b</t>
    </r>
    <r>
      <rPr>
        <vertAlign val="superscript"/>
        <sz val="10"/>
        <rFont val="Arial Cyr"/>
        <charset val="204"/>
      </rPr>
      <t>k+1,</t>
    </r>
    <r>
      <rPr>
        <sz val="10"/>
        <rFont val="Arial Cyr"/>
        <charset val="204"/>
      </rPr>
      <t xml:space="preserve"> c</t>
    </r>
    <r>
      <rPr>
        <vertAlign val="superscript"/>
        <sz val="10"/>
        <rFont val="Arial Cyr"/>
        <charset val="204"/>
      </rPr>
      <t>k+1</t>
    </r>
    <r>
      <rPr>
        <sz val="10"/>
        <rFont val="Arial Cyr"/>
        <charset val="204"/>
      </rPr>
      <t>, d</t>
    </r>
    <r>
      <rPr>
        <vertAlign val="superscript"/>
        <sz val="10"/>
        <rFont val="Arial Cyr"/>
        <charset val="204"/>
      </rPr>
      <t>k+1</t>
    </r>
    <r>
      <rPr>
        <sz val="10"/>
        <rFont val="Arial Cyr"/>
        <charset val="204"/>
      </rPr>
      <t xml:space="preserve"> </t>
    </r>
  </si>
  <si>
    <t>Сообщение о состоянии процесса поиска</t>
  </si>
  <si>
    <t>Оптимальный спрос</t>
  </si>
  <si>
    <t>Количество итераций N*</t>
  </si>
  <si>
    <r>
      <t>Ширина интервала h</t>
    </r>
    <r>
      <rPr>
        <vertAlign val="superscript"/>
        <sz val="10"/>
        <rFont val="Arial Cyr"/>
        <charset val="204"/>
      </rPr>
      <t>k</t>
    </r>
  </si>
  <si>
    <t>Обозначения  точек интервала</t>
  </si>
  <si>
    <t>Размер области поиска=b-a</t>
  </si>
  <si>
    <t>k</t>
  </si>
  <si>
    <r>
      <t>a</t>
    </r>
    <r>
      <rPr>
        <b/>
        <vertAlign val="superscript"/>
        <sz val="10"/>
        <rFont val="Arial"/>
        <family val="2"/>
        <charset val="204"/>
      </rPr>
      <t>k</t>
    </r>
  </si>
  <si>
    <r>
      <t>b</t>
    </r>
    <r>
      <rPr>
        <b/>
        <vertAlign val="superscript"/>
        <sz val="10"/>
        <rFont val="Arial"/>
        <family val="2"/>
        <charset val="204"/>
      </rPr>
      <t>k</t>
    </r>
  </si>
  <si>
    <r>
      <t>c</t>
    </r>
    <r>
      <rPr>
        <b/>
        <vertAlign val="superscript"/>
        <sz val="10"/>
        <rFont val="Arial"/>
        <family val="2"/>
        <charset val="204"/>
      </rPr>
      <t>k</t>
    </r>
  </si>
  <si>
    <r>
      <t>d</t>
    </r>
    <r>
      <rPr>
        <b/>
        <vertAlign val="superscript"/>
        <sz val="10"/>
        <rFont val="Arial"/>
        <family val="2"/>
        <charset val="204"/>
      </rPr>
      <t>k</t>
    </r>
  </si>
  <si>
    <r>
      <t>f(c</t>
    </r>
    <r>
      <rPr>
        <b/>
        <vertAlign val="superscript"/>
        <sz val="10"/>
        <rFont val="Arial"/>
        <family val="2"/>
        <charset val="204"/>
      </rPr>
      <t>k</t>
    </r>
    <r>
      <rPr>
        <b/>
        <sz val="10"/>
        <rFont val="Arial"/>
        <family val="2"/>
        <charset val="204"/>
      </rPr>
      <t>)</t>
    </r>
  </si>
  <si>
    <r>
      <t>f(d</t>
    </r>
    <r>
      <rPr>
        <b/>
        <vertAlign val="superscript"/>
        <sz val="10"/>
        <rFont val="Arial"/>
        <family val="2"/>
        <charset val="204"/>
      </rPr>
      <t>k</t>
    </r>
    <r>
      <rPr>
        <b/>
        <sz val="10"/>
        <rFont val="Arial"/>
        <family val="2"/>
        <charset val="204"/>
      </rPr>
      <t>)</t>
    </r>
  </si>
  <si>
    <r>
      <t>b</t>
    </r>
    <r>
      <rPr>
        <b/>
        <vertAlign val="superscript"/>
        <sz val="10"/>
        <rFont val="Arial"/>
        <family val="2"/>
        <charset val="204"/>
      </rPr>
      <t>k</t>
    </r>
    <r>
      <rPr>
        <b/>
        <sz val="10"/>
        <rFont val="Arial"/>
        <family val="2"/>
        <charset val="204"/>
      </rPr>
      <t>-a</t>
    </r>
    <r>
      <rPr>
        <b/>
        <vertAlign val="superscript"/>
        <sz val="10"/>
        <rFont val="Arial"/>
        <family val="2"/>
        <charset val="204"/>
      </rPr>
      <t>k</t>
    </r>
  </si>
  <si>
    <t>f(x)=[exp(x)-2-x]^2 на интервале [0,2].</t>
  </si>
  <si>
    <t>Упражнение 9.1 Используя Алгоритм Метода Золотого Сечения найти локальный минимум заданной целевой функции</t>
  </si>
  <si>
    <t>Задание по лабораторной работе:</t>
  </si>
  <si>
    <t>1. Найти зависимость количества итераций от допустимой погрешности.</t>
  </si>
  <si>
    <t>2. Найти зависимость количества итераций от размера области поиска.</t>
  </si>
  <si>
    <t>3. Построить графики 9.1 и 9.2 с этими зависимостями.</t>
  </si>
  <si>
    <t>Колличество итераций</t>
  </si>
  <si>
    <t>Таблица 9.2  Зависимость Количества итераций от Размера области поиска.</t>
  </si>
  <si>
    <t>Таблица 9.1  Зависимость Количества итераций от Допустимой Погрешности.</t>
  </si>
  <si>
    <t>4. Определить скорость сходимости Метода Золотого Сечения.</t>
  </si>
  <si>
    <t>Parametr_A</t>
  </si>
  <si>
    <t>Parametr_B</t>
  </si>
  <si>
    <t>Cost</t>
  </si>
  <si>
    <t>Parametr_D</t>
  </si>
  <si>
    <t>Tolerance</t>
  </si>
  <si>
    <r>
      <t>X*</t>
    </r>
    <r>
      <rPr>
        <vertAlign val="subscript"/>
        <sz val="8"/>
        <rFont val="Arial Cyr"/>
        <charset val="204"/>
      </rPr>
      <t>1</t>
    </r>
  </si>
  <si>
    <r>
      <t>X*</t>
    </r>
    <r>
      <rPr>
        <vertAlign val="subscript"/>
        <sz val="8"/>
        <rFont val="Arial Cyr"/>
        <charset val="204"/>
      </rPr>
      <t>2</t>
    </r>
  </si>
  <si>
    <t>Цена(k)</t>
  </si>
  <si>
    <r>
      <t>Ошибка: e</t>
    </r>
    <r>
      <rPr>
        <b/>
        <vertAlign val="subscript"/>
        <sz val="10"/>
        <rFont val="Arial Cyr"/>
        <charset val="204"/>
      </rPr>
      <t>k</t>
    </r>
    <r>
      <rPr>
        <b/>
        <sz val="10"/>
        <rFont val="Arial Cyr"/>
        <charset val="204"/>
      </rPr>
      <t>=abs(X</t>
    </r>
    <r>
      <rPr>
        <b/>
        <vertAlign val="superscript"/>
        <sz val="10"/>
        <rFont val="Arial Cyr"/>
        <charset val="204"/>
      </rPr>
      <t>*</t>
    </r>
    <r>
      <rPr>
        <b/>
        <sz val="10"/>
        <rFont val="Arial Cyr"/>
        <charset val="204"/>
      </rPr>
      <t>-X</t>
    </r>
    <r>
      <rPr>
        <b/>
        <vertAlign val="subscript"/>
        <sz val="10"/>
        <rFont val="Arial Cyr"/>
        <charset val="204"/>
      </rPr>
      <t>k</t>
    </r>
    <r>
      <rPr>
        <b/>
        <sz val="10"/>
        <rFont val="Arial Cyr"/>
        <charset val="204"/>
      </rPr>
      <t>)</t>
    </r>
  </si>
  <si>
    <r>
      <t>A</t>
    </r>
    <r>
      <rPr>
        <b/>
        <vertAlign val="subscript"/>
        <sz val="10"/>
        <rFont val="Arial Cyr"/>
        <charset val="204"/>
      </rPr>
      <t>k</t>
    </r>
    <r>
      <rPr>
        <b/>
        <sz val="10"/>
        <rFont val="Arial Cyr"/>
        <charset val="204"/>
      </rPr>
      <t>=e</t>
    </r>
    <r>
      <rPr>
        <b/>
        <vertAlign val="subscript"/>
        <sz val="10"/>
        <rFont val="Arial Cyr"/>
        <charset val="204"/>
      </rPr>
      <t>k+1</t>
    </r>
    <r>
      <rPr>
        <b/>
        <sz val="10"/>
        <rFont val="Arial Cyr"/>
        <charset val="204"/>
      </rPr>
      <t>/(e</t>
    </r>
    <r>
      <rPr>
        <b/>
        <vertAlign val="subscript"/>
        <sz val="10"/>
        <rFont val="Arial Cyr"/>
        <charset val="204"/>
      </rPr>
      <t>k</t>
    </r>
    <r>
      <rPr>
        <b/>
        <sz val="10"/>
        <rFont val="Arial Cyr"/>
        <charset val="204"/>
      </rPr>
      <t>)^sigma=abs(X</t>
    </r>
    <r>
      <rPr>
        <b/>
        <vertAlign val="superscript"/>
        <sz val="10"/>
        <rFont val="Arial Cyr"/>
        <charset val="204"/>
      </rPr>
      <t>*</t>
    </r>
    <r>
      <rPr>
        <b/>
        <sz val="10"/>
        <rFont val="Arial Cyr"/>
        <charset val="204"/>
      </rPr>
      <t>-X</t>
    </r>
    <r>
      <rPr>
        <b/>
        <vertAlign val="subscript"/>
        <sz val="10"/>
        <rFont val="Arial Cyr"/>
        <charset val="204"/>
      </rPr>
      <t>k+1</t>
    </r>
    <r>
      <rPr>
        <b/>
        <sz val="10"/>
        <rFont val="Arial Cyr"/>
        <charset val="204"/>
      </rPr>
      <t>)/abs(X*-Xk)^sigma</t>
    </r>
  </si>
  <si>
    <t>sigma</t>
  </si>
  <si>
    <t>X*</t>
  </si>
  <si>
    <r>
      <t>abs((A</t>
    </r>
    <r>
      <rPr>
        <b/>
        <vertAlign val="superscript"/>
        <sz val="10"/>
        <rFont val="Arial Cyr"/>
        <charset val="204"/>
      </rPr>
      <t>k</t>
    </r>
    <r>
      <rPr>
        <b/>
        <sz val="10"/>
        <rFont val="Arial Cyr"/>
        <charset val="204"/>
      </rPr>
      <t>-A</t>
    </r>
    <r>
      <rPr>
        <b/>
        <vertAlign val="superscript"/>
        <sz val="10"/>
        <rFont val="Arial Cyr"/>
        <charset val="204"/>
      </rPr>
      <t>k+1</t>
    </r>
    <r>
      <rPr>
        <b/>
        <sz val="10"/>
        <rFont val="Arial Cyr"/>
        <charset val="204"/>
      </rPr>
      <t>)/A</t>
    </r>
    <r>
      <rPr>
        <b/>
        <vertAlign val="superscript"/>
        <sz val="10"/>
        <rFont val="Arial Cyr"/>
        <charset val="204"/>
      </rPr>
      <t>k</t>
    </r>
    <r>
      <rPr>
        <b/>
        <sz val="10"/>
        <rFont val="Arial Cyr"/>
        <charset val="204"/>
      </rPr>
      <t>)</t>
    </r>
  </si>
  <si>
    <t>List of sigma</t>
  </si>
  <si>
    <r>
      <t>MIN[abs((A</t>
    </r>
    <r>
      <rPr>
        <b/>
        <vertAlign val="superscript"/>
        <sz val="10"/>
        <rFont val="Arial Cyr"/>
        <charset val="204"/>
      </rPr>
      <t>k</t>
    </r>
    <r>
      <rPr>
        <b/>
        <sz val="10"/>
        <rFont val="Arial Cyr"/>
        <charset val="204"/>
      </rPr>
      <t>-A</t>
    </r>
    <r>
      <rPr>
        <b/>
        <vertAlign val="superscript"/>
        <sz val="10"/>
        <rFont val="Arial Cyr"/>
        <charset val="204"/>
      </rPr>
      <t>k+1</t>
    </r>
    <r>
      <rPr>
        <b/>
        <sz val="10"/>
        <rFont val="Arial Cyr"/>
        <charset val="204"/>
      </rPr>
      <t>)/A</t>
    </r>
    <r>
      <rPr>
        <b/>
        <vertAlign val="superscript"/>
        <sz val="10"/>
        <rFont val="Arial Cyr"/>
        <charset val="204"/>
      </rPr>
      <t>k</t>
    </r>
    <r>
      <rPr>
        <b/>
        <sz val="10"/>
        <rFont val="Arial Cyr"/>
        <charset val="204"/>
      </rPr>
      <t>)]</t>
    </r>
  </si>
  <si>
    <t>Таблица 9.3 Исходные данные для определения скорости сходимости Метода золотого сечения</t>
  </si>
  <si>
    <t>Таблица 9.4. Программа для оценки скорости сходимости  Метода золотого сечения</t>
  </si>
  <si>
    <t>Limit of Credit Value</t>
  </si>
  <si>
    <t>Parameters of the Market Models for laboratory works in Methods of Optimization</t>
  </si>
  <si>
    <t>Table 1: List of Market Models parameters among students</t>
  </si>
  <si>
    <t>Name of students from class 
SE-1-16</t>
  </si>
  <si>
    <t>It is a sample</t>
  </si>
  <si>
    <t>Абакиров Нурсултан Ильясович</t>
  </si>
  <si>
    <t>Абдыкеримов Аманжол Нурбекович</t>
  </si>
  <si>
    <t>Акаев Жумгал Салманович</t>
  </si>
  <si>
    <t>Алимбеков Эмил Илиязович</t>
  </si>
  <si>
    <t>Байсеитов Кубанычбек Кычанович</t>
  </si>
  <si>
    <t>Дуйшеев Азамат Болотович</t>
  </si>
  <si>
    <t>Кайдылдаев Руслан Арсенович</t>
  </si>
  <si>
    <t xml:space="preserve">Малик уулу Марат </t>
  </si>
  <si>
    <t>Мурзаев Кубанычбек Торобаевич</t>
  </si>
  <si>
    <t>Назаренко Владислав Александрович</t>
  </si>
  <si>
    <t>Ы</t>
  </si>
  <si>
    <t>Ташполотов Нурланбек Абдибахапович</t>
  </si>
  <si>
    <t>Турдахунов Эрзат Кубатбекович</t>
  </si>
  <si>
    <t>Вывод: Метод золотого сечения  имеет линейную скорость сходимости потому, что  ряд {abs(X*-Xk+1)/abs(X*-Xk)^sigma} сходится к значению А=0.617918339935463 только при sigma=1.</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</si>
</sst>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0.000000"/>
    <numFmt numFmtId="165" formatCode="0.0000"/>
    <numFmt numFmtId="166" formatCode="0.0000E+00"/>
    <numFmt numFmtId="167" formatCode="0.000000E+00"/>
    <numFmt numFmtId="168" formatCode="#,##0.000000"/>
  </numFmts>
  <fonts count="24">
    <font>
      <sz val="10"/>
      <name val="Arial Cyr"/>
      <charset val="204"/>
    </font>
    <font>
      <sz val="10"/>
      <name val="Arial Cyr"/>
      <charset val="204"/>
    </font>
    <font>
      <sz val="8"/>
      <name val="Arial Cyr"/>
      <charset val="204"/>
    </font>
    <font>
      <b/>
      <sz val="10"/>
      <name val="Arial Cyr"/>
      <charset val="204"/>
    </font>
    <font>
      <b/>
      <vertAlign val="subscript"/>
      <sz val="10"/>
      <name val="Arial Cyr"/>
      <charset val="204"/>
    </font>
    <font>
      <b/>
      <i/>
      <sz val="14"/>
      <name val="Arial Cyr"/>
      <charset val="204"/>
    </font>
    <font>
      <sz val="8"/>
      <color indexed="81"/>
      <name val="Tahoma"/>
      <family val="2"/>
      <charset val="204"/>
    </font>
    <font>
      <b/>
      <sz val="8"/>
      <color indexed="81"/>
      <name val="Tahoma"/>
      <family val="2"/>
      <charset val="204"/>
    </font>
    <font>
      <vertAlign val="superscript"/>
      <sz val="10"/>
      <name val="Arial Cyr"/>
      <charset val="204"/>
    </font>
    <font>
      <b/>
      <sz val="8"/>
      <name val="Arial Cyr"/>
      <charset val="204"/>
    </font>
    <font>
      <b/>
      <vertAlign val="superscript"/>
      <sz val="8"/>
      <name val="Arial Cyr"/>
      <charset val="204"/>
    </font>
    <font>
      <b/>
      <sz val="10"/>
      <name val="Arial"/>
      <family val="2"/>
      <charset val="204"/>
    </font>
    <font>
      <b/>
      <vertAlign val="superscript"/>
      <sz val="10"/>
      <name val="Arial"/>
      <family val="2"/>
      <charset val="204"/>
    </font>
    <font>
      <sz val="10"/>
      <name val="Arial"/>
      <family val="2"/>
      <charset val="204"/>
    </font>
    <font>
      <b/>
      <sz val="8"/>
      <name val="Arial"/>
      <family val="2"/>
    </font>
    <font>
      <b/>
      <sz val="10"/>
      <name val="Arial Cyr"/>
    </font>
    <font>
      <b/>
      <sz val="8"/>
      <name val="Arial Cyr"/>
    </font>
    <font>
      <sz val="12"/>
      <name val="Times New Roman"/>
      <family val="1"/>
      <charset val="204"/>
    </font>
    <font>
      <vertAlign val="subscript"/>
      <sz val="8"/>
      <name val="Arial Cyr"/>
      <charset val="204"/>
    </font>
    <font>
      <b/>
      <vertAlign val="superscript"/>
      <sz val="10"/>
      <name val="Arial Cyr"/>
      <charset val="204"/>
    </font>
    <font>
      <sz val="10"/>
      <name val="Arial"/>
      <family val="2"/>
      <charset val="204"/>
    </font>
    <font>
      <b/>
      <sz val="10"/>
      <name val="Arial"/>
      <family val="2"/>
    </font>
    <font>
      <sz val="14"/>
      <name val="Times New Roman"/>
      <family val="1"/>
      <charset val="204"/>
    </font>
    <font>
      <sz val="10"/>
      <color rgb="FF000000"/>
      <name val="Calibri"/>
      <family val="2"/>
    </font>
  </fonts>
  <fills count="6">
    <fill>
      <patternFill patternType="none"/>
    </fill>
    <fill>
      <patternFill patternType="gray125"/>
    </fill>
    <fill>
      <patternFill patternType="solid">
        <fgColor indexed="13"/>
        <bgColor indexed="64"/>
      </patternFill>
    </fill>
    <fill>
      <patternFill patternType="solid">
        <fgColor indexed="15"/>
        <bgColor indexed="64"/>
      </patternFill>
    </fill>
    <fill>
      <patternFill patternType="solid">
        <fgColor indexed="41"/>
        <bgColor indexed="64"/>
      </patternFill>
    </fill>
    <fill>
      <patternFill patternType="solid">
        <fgColor rgb="FF00B050"/>
        <bgColor indexed="64"/>
      </patternFill>
    </fill>
  </fills>
  <borders count="40">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diagonal/>
    </border>
  </borders>
  <cellStyleXfs count="1">
    <xf numFmtId="0" fontId="0" fillId="0" borderId="0"/>
  </cellStyleXfs>
  <cellXfs count="175">
    <xf numFmtId="0" fontId="0" fillId="0" borderId="0" xfId="0"/>
    <xf numFmtId="0" fontId="0" fillId="0" borderId="1" xfId="0" applyBorder="1"/>
    <xf numFmtId="11" fontId="0" fillId="0" borderId="1" xfId="0" applyNumberFormat="1" applyBorder="1"/>
    <xf numFmtId="0" fontId="3" fillId="0" borderId="0" xfId="0" applyFont="1"/>
    <xf numFmtId="0" fontId="0" fillId="0" borderId="2" xfId="0" applyBorder="1"/>
    <xf numFmtId="0" fontId="0" fillId="0" borderId="3" xfId="0" applyBorder="1"/>
    <xf numFmtId="0" fontId="0" fillId="0" borderId="4" xfId="0" applyBorder="1"/>
    <xf numFmtId="0" fontId="0" fillId="0" borderId="5" xfId="0" applyBorder="1"/>
    <xf numFmtId="0" fontId="0" fillId="0" borderId="0" xfId="0" applyBorder="1"/>
    <xf numFmtId="0" fontId="0" fillId="0" borderId="1" xfId="0" applyBorder="1" applyProtection="1">
      <protection locked="0"/>
    </xf>
    <xf numFmtId="0" fontId="0" fillId="0" borderId="6" xfId="0" applyBorder="1" applyProtection="1">
      <protection locked="0"/>
    </xf>
    <xf numFmtId="0" fontId="0" fillId="0" borderId="0" xfId="0" applyBorder="1" applyProtection="1">
      <protection locked="0"/>
    </xf>
    <xf numFmtId="0" fontId="0" fillId="0" borderId="1" xfId="0" applyBorder="1" applyProtection="1"/>
    <xf numFmtId="0" fontId="0" fillId="0" borderId="0" xfId="0" applyProtection="1">
      <protection locked="0"/>
    </xf>
    <xf numFmtId="0" fontId="0" fillId="0" borderId="7" xfId="0" applyBorder="1" applyProtection="1">
      <protection locked="0"/>
    </xf>
    <xf numFmtId="0" fontId="2" fillId="0" borderId="8" xfId="0" applyFont="1" applyBorder="1" applyAlignment="1" applyProtection="1">
      <alignment horizontal="center" vertical="center"/>
      <protection locked="0"/>
    </xf>
    <xf numFmtId="166" fontId="2" fillId="0" borderId="9" xfId="0" applyNumberFormat="1" applyFont="1" applyBorder="1" applyAlignment="1" applyProtection="1">
      <alignment horizontal="center" vertical="center"/>
      <protection locked="0"/>
    </xf>
    <xf numFmtId="0" fontId="2" fillId="0" borderId="1" xfId="0" applyFont="1" applyBorder="1" applyAlignment="1" applyProtection="1">
      <alignment horizontal="center" vertical="center"/>
      <protection locked="0"/>
    </xf>
    <xf numFmtId="0" fontId="2" fillId="0" borderId="3" xfId="0" applyFont="1" applyBorder="1" applyProtection="1">
      <protection locked="0"/>
    </xf>
    <xf numFmtId="0" fontId="2" fillId="0" borderId="1" xfId="0" applyFont="1" applyBorder="1" applyProtection="1">
      <protection locked="0"/>
    </xf>
    <xf numFmtId="166" fontId="2" fillId="0" borderId="1" xfId="0" applyNumberFormat="1" applyFont="1" applyBorder="1" applyAlignment="1" applyProtection="1">
      <alignment horizontal="center" vertical="center"/>
      <protection locked="0"/>
    </xf>
    <xf numFmtId="0" fontId="2" fillId="0" borderId="4" xfId="0" applyFont="1" applyBorder="1" applyProtection="1">
      <protection locked="0"/>
    </xf>
    <xf numFmtId="0" fontId="2" fillId="0" borderId="5" xfId="0" applyFont="1" applyBorder="1" applyProtection="1">
      <protection locked="0"/>
    </xf>
    <xf numFmtId="3" fontId="2" fillId="0" borderId="9" xfId="0" applyNumberFormat="1" applyFont="1" applyBorder="1" applyAlignment="1" applyProtection="1">
      <alignment horizontal="center" vertical="center"/>
      <protection locked="0"/>
    </xf>
    <xf numFmtId="0" fontId="0" fillId="0" borderId="10" xfId="0" applyBorder="1" applyProtection="1">
      <protection locked="0"/>
    </xf>
    <xf numFmtId="0" fontId="0" fillId="0" borderId="9" xfId="0" applyBorder="1" applyAlignment="1" applyProtection="1">
      <alignment horizontal="center" vertical="center"/>
      <protection locked="0"/>
    </xf>
    <xf numFmtId="166" fontId="0" fillId="0" borderId="1" xfId="0" applyNumberFormat="1" applyBorder="1" applyProtection="1">
      <protection locked="0"/>
    </xf>
    <xf numFmtId="0" fontId="3" fillId="0" borderId="1" xfId="0" applyFont="1" applyBorder="1" applyProtection="1"/>
    <xf numFmtId="0" fontId="1" fillId="0" borderId="7" xfId="0" applyFont="1" applyBorder="1" applyProtection="1"/>
    <xf numFmtId="0" fontId="9" fillId="0" borderId="2" xfId="0" applyFont="1" applyBorder="1" applyAlignment="1" applyProtection="1">
      <alignment horizontal="center" vertical="center"/>
    </xf>
    <xf numFmtId="0" fontId="9" fillId="0" borderId="1" xfId="0" applyFont="1" applyBorder="1" applyAlignment="1" applyProtection="1">
      <alignment horizontal="center" vertical="center"/>
    </xf>
    <xf numFmtId="0" fontId="9" fillId="0" borderId="3" xfId="0" applyFont="1" applyBorder="1" applyAlignment="1" applyProtection="1">
      <alignment horizontal="center" vertical="center"/>
    </xf>
    <xf numFmtId="0" fontId="0" fillId="0" borderId="11" xfId="0" applyBorder="1" applyAlignment="1" applyProtection="1">
      <alignment horizontal="center" vertical="center"/>
    </xf>
    <xf numFmtId="0" fontId="2" fillId="0" borderId="2" xfId="0" applyFont="1" applyBorder="1" applyAlignment="1" applyProtection="1">
      <alignment horizontal="center" vertical="center"/>
    </xf>
    <xf numFmtId="0" fontId="2" fillId="0" borderId="1" xfId="0" applyFont="1" applyBorder="1" applyAlignment="1" applyProtection="1">
      <alignment horizontal="center" vertical="center"/>
    </xf>
    <xf numFmtId="0" fontId="2" fillId="0" borderId="1" xfId="0" applyFont="1" applyBorder="1" applyProtection="1"/>
    <xf numFmtId="0" fontId="9" fillId="0" borderId="2" xfId="0" applyFont="1" applyBorder="1" applyAlignment="1" applyProtection="1">
      <alignment vertical="center"/>
    </xf>
    <xf numFmtId="0" fontId="11" fillId="0" borderId="12" xfId="0"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pplyAlignment="1">
      <alignment horizontal="center" vertical="center"/>
    </xf>
    <xf numFmtId="0" fontId="0" fillId="0" borderId="12" xfId="0" applyFill="1" applyBorder="1" applyAlignment="1" applyProtection="1">
      <alignment horizontal="center" vertical="center"/>
    </xf>
    <xf numFmtId="0" fontId="0" fillId="0" borderId="14" xfId="0" applyFill="1" applyBorder="1" applyAlignment="1" applyProtection="1">
      <alignment horizontal="center" vertical="center"/>
    </xf>
    <xf numFmtId="0" fontId="13" fillId="0" borderId="8" xfId="0" applyFont="1" applyBorder="1"/>
    <xf numFmtId="0" fontId="13" fillId="0" borderId="9" xfId="0" applyFont="1" applyBorder="1"/>
    <xf numFmtId="0" fontId="1" fillId="0" borderId="9" xfId="0" applyFont="1" applyBorder="1" applyAlignment="1" applyProtection="1">
      <alignment horizontal="center" vertical="center"/>
    </xf>
    <xf numFmtId="164" fontId="13" fillId="0" borderId="6" xfId="0" applyNumberFormat="1" applyFont="1" applyBorder="1"/>
    <xf numFmtId="0" fontId="0" fillId="0" borderId="15" xfId="0" applyBorder="1" applyAlignment="1" applyProtection="1">
      <alignment horizontal="center" vertical="center"/>
    </xf>
    <xf numFmtId="0" fontId="13" fillId="0" borderId="2" xfId="0" applyFont="1" applyBorder="1"/>
    <xf numFmtId="0" fontId="1" fillId="0" borderId="1" xfId="0" applyFont="1" applyBorder="1" applyAlignment="1" applyProtection="1">
      <alignment horizontal="center" vertical="center"/>
    </xf>
    <xf numFmtId="0" fontId="13" fillId="0" borderId="1" xfId="0" applyFont="1" applyBorder="1"/>
    <xf numFmtId="164" fontId="13" fillId="0" borderId="3" xfId="0" applyNumberFormat="1" applyFont="1" applyBorder="1"/>
    <xf numFmtId="0" fontId="13" fillId="0" borderId="16" xfId="0" applyFont="1" applyBorder="1"/>
    <xf numFmtId="0" fontId="1" fillId="0" borderId="4" xfId="0" applyFont="1" applyBorder="1" applyAlignment="1" applyProtection="1">
      <alignment horizontal="center" vertical="center"/>
    </xf>
    <xf numFmtId="0" fontId="13" fillId="0" borderId="4" xfId="0" applyFont="1" applyBorder="1"/>
    <xf numFmtId="164" fontId="13" fillId="0" borderId="5" xfId="0" applyNumberFormat="1" applyFont="1" applyBorder="1"/>
    <xf numFmtId="0" fontId="0" fillId="0" borderId="16" xfId="0" applyBorder="1"/>
    <xf numFmtId="0" fontId="3" fillId="0" borderId="0" xfId="0" applyFont="1" applyBorder="1" applyProtection="1"/>
    <xf numFmtId="0" fontId="0" fillId="0" borderId="0" xfId="0" applyBorder="1" applyProtection="1"/>
    <xf numFmtId="0" fontId="15" fillId="0" borderId="0" xfId="0" applyFont="1"/>
    <xf numFmtId="0" fontId="3" fillId="0" borderId="0" xfId="0" applyFont="1" applyBorder="1"/>
    <xf numFmtId="165" fontId="2" fillId="0" borderId="0" xfId="0" applyNumberFormat="1" applyFont="1" applyBorder="1" applyProtection="1">
      <protection locked="0"/>
    </xf>
    <xf numFmtId="3" fontId="0" fillId="0" borderId="0" xfId="0" applyNumberFormat="1" applyBorder="1" applyProtection="1">
      <protection locked="0"/>
    </xf>
    <xf numFmtId="1" fontId="0" fillId="0" borderId="0" xfId="0" applyNumberFormat="1" applyBorder="1" applyProtection="1">
      <protection locked="0"/>
    </xf>
    <xf numFmtId="0" fontId="2" fillId="2" borderId="2" xfId="0" applyFont="1" applyFill="1" applyBorder="1" applyAlignment="1" applyProtection="1">
      <alignment horizontal="center" vertical="center"/>
      <protection locked="0"/>
    </xf>
    <xf numFmtId="0" fontId="2" fillId="2" borderId="1" xfId="0" applyFont="1" applyFill="1" applyBorder="1" applyAlignment="1" applyProtection="1">
      <alignment horizontal="center" vertical="center"/>
      <protection locked="0"/>
    </xf>
    <xf numFmtId="0" fontId="3" fillId="0" borderId="1" xfId="0" applyFont="1" applyBorder="1" applyAlignment="1" applyProtection="1">
      <alignment wrapText="1"/>
    </xf>
    <xf numFmtId="0" fontId="3" fillId="0" borderId="7" xfId="0" applyFont="1" applyFill="1" applyBorder="1" applyAlignment="1" applyProtection="1">
      <alignment horizontal="center" vertical="center"/>
    </xf>
    <xf numFmtId="0" fontId="3" fillId="0" borderId="7" xfId="0" applyFont="1" applyFill="1" applyBorder="1" applyAlignment="1" applyProtection="1">
      <alignment horizontal="center" vertical="center" wrapText="1"/>
    </xf>
    <xf numFmtId="166" fontId="2" fillId="0" borderId="0" xfId="0" applyNumberFormat="1" applyFont="1" applyBorder="1" applyAlignment="1" applyProtection="1">
      <alignment horizontal="center" vertical="center"/>
      <protection locked="0"/>
    </xf>
    <xf numFmtId="0" fontId="0" fillId="0" borderId="12" xfId="0" applyBorder="1" applyAlignment="1" applyProtection="1">
      <alignment horizontal="center" vertical="center"/>
    </xf>
    <xf numFmtId="0" fontId="0" fillId="0" borderId="13" xfId="0" applyBorder="1" applyAlignment="1" applyProtection="1">
      <alignment horizontal="center" vertical="center"/>
    </xf>
    <xf numFmtId="166" fontId="2" fillId="2" borderId="14" xfId="0" applyNumberFormat="1" applyFont="1" applyFill="1" applyBorder="1" applyAlignment="1" applyProtection="1">
      <alignment horizontal="center" vertical="center"/>
      <protection locked="0"/>
    </xf>
    <xf numFmtId="0" fontId="1" fillId="0" borderId="8" xfId="0" applyFont="1" applyBorder="1" applyProtection="1">
      <protection locked="0"/>
    </xf>
    <xf numFmtId="165" fontId="1" fillId="0" borderId="9" xfId="0" applyNumberFormat="1" applyFont="1" applyBorder="1" applyProtection="1">
      <protection locked="0"/>
    </xf>
    <xf numFmtId="0" fontId="1" fillId="0" borderId="9" xfId="0" applyFont="1" applyBorder="1" applyProtection="1">
      <protection locked="0"/>
    </xf>
    <xf numFmtId="3" fontId="1" fillId="0" borderId="6" xfId="0" applyNumberFormat="1" applyFont="1" applyBorder="1" applyProtection="1">
      <protection locked="0"/>
    </xf>
    <xf numFmtId="0" fontId="1" fillId="0" borderId="2" xfId="0" applyFont="1" applyBorder="1" applyProtection="1">
      <protection locked="0"/>
    </xf>
    <xf numFmtId="165" fontId="1" fillId="0" borderId="1" xfId="0" applyNumberFormat="1" applyFont="1" applyBorder="1" applyProtection="1">
      <protection locked="0"/>
    </xf>
    <xf numFmtId="0" fontId="1" fillId="0" borderId="1" xfId="0" applyFont="1" applyBorder="1" applyProtection="1">
      <protection locked="0"/>
    </xf>
    <xf numFmtId="3" fontId="1" fillId="0" borderId="3" xfId="0" applyNumberFormat="1" applyFont="1" applyBorder="1" applyProtection="1">
      <protection locked="0"/>
    </xf>
    <xf numFmtId="0" fontId="1" fillId="0" borderId="16" xfId="0" applyFont="1" applyBorder="1" applyProtection="1">
      <protection locked="0"/>
    </xf>
    <xf numFmtId="165" fontId="1" fillId="0" borderId="4" xfId="0" applyNumberFormat="1" applyFont="1" applyBorder="1" applyProtection="1">
      <protection locked="0"/>
    </xf>
    <xf numFmtId="0" fontId="1" fillId="0" borderId="4" xfId="0" applyFont="1" applyBorder="1" applyProtection="1">
      <protection locked="0"/>
    </xf>
    <xf numFmtId="3" fontId="1" fillId="0" borderId="5" xfId="0" applyNumberFormat="1" applyFont="1" applyBorder="1" applyProtection="1">
      <protection locked="0"/>
    </xf>
    <xf numFmtId="0" fontId="2" fillId="0" borderId="17" xfId="0" applyFont="1" applyFill="1" applyBorder="1" applyAlignment="1" applyProtection="1">
      <alignment wrapText="1"/>
      <protection locked="0"/>
    </xf>
    <xf numFmtId="0" fontId="0" fillId="0" borderId="18" xfId="0" applyFill="1" applyBorder="1" applyProtection="1">
      <protection locked="0"/>
    </xf>
    <xf numFmtId="0" fontId="0" fillId="0" borderId="19" xfId="0" applyFill="1" applyBorder="1" applyProtection="1">
      <protection locked="0"/>
    </xf>
    <xf numFmtId="166" fontId="2" fillId="0" borderId="20" xfId="0" applyNumberFormat="1" applyFont="1" applyBorder="1" applyAlignment="1" applyProtection="1">
      <alignment horizontal="center" vertical="center"/>
    </xf>
    <xf numFmtId="166" fontId="2" fillId="2" borderId="20" xfId="0" applyNumberFormat="1" applyFont="1" applyFill="1" applyBorder="1" applyAlignment="1" applyProtection="1">
      <alignment horizontal="center" vertical="center"/>
      <protection locked="0"/>
    </xf>
    <xf numFmtId="0" fontId="2" fillId="0" borderId="20" xfId="0" applyFont="1" applyBorder="1" applyAlignment="1" applyProtection="1">
      <alignment horizontal="center" vertical="center"/>
    </xf>
    <xf numFmtId="0" fontId="2" fillId="0" borderId="21" xfId="0" applyFont="1" applyBorder="1" applyProtection="1"/>
    <xf numFmtId="166" fontId="2" fillId="2" borderId="1" xfId="0" applyNumberFormat="1" applyFont="1" applyFill="1" applyBorder="1" applyProtection="1">
      <protection locked="0"/>
    </xf>
    <xf numFmtId="0" fontId="0" fillId="0" borderId="0" xfId="0" applyFill="1" applyBorder="1" applyProtection="1">
      <protection locked="0"/>
    </xf>
    <xf numFmtId="0" fontId="16" fillId="0" borderId="22" xfId="0" applyFont="1" applyBorder="1" applyAlignment="1" applyProtection="1">
      <alignment wrapText="1"/>
      <protection locked="0"/>
    </xf>
    <xf numFmtId="0" fontId="0" fillId="0" borderId="1" xfId="0" applyFill="1" applyBorder="1" applyProtection="1">
      <protection locked="0"/>
    </xf>
    <xf numFmtId="0" fontId="0" fillId="0" borderId="9" xfId="0" applyFill="1" applyBorder="1" applyProtection="1">
      <protection locked="0"/>
    </xf>
    <xf numFmtId="0" fontId="0" fillId="0" borderId="4" xfId="0" applyFill="1" applyBorder="1" applyProtection="1">
      <protection locked="0"/>
    </xf>
    <xf numFmtId="0" fontId="0" fillId="0" borderId="8" xfId="0" applyBorder="1"/>
    <xf numFmtId="0" fontId="0" fillId="0" borderId="9" xfId="0" applyBorder="1"/>
    <xf numFmtId="0" fontId="17" fillId="0" borderId="0" xfId="0" applyFont="1" applyBorder="1" applyAlignment="1">
      <alignment wrapText="1"/>
    </xf>
    <xf numFmtId="0" fontId="3" fillId="2" borderId="12" xfId="0" applyFont="1" applyFill="1" applyBorder="1" applyAlignment="1">
      <alignment horizontal="center" wrapText="1"/>
    </xf>
    <xf numFmtId="0" fontId="3" fillId="2" borderId="13" xfId="0" applyFont="1" applyFill="1" applyBorder="1" applyAlignment="1">
      <alignment horizontal="center" wrapText="1"/>
    </xf>
    <xf numFmtId="0" fontId="3" fillId="2" borderId="23" xfId="0" applyFont="1" applyFill="1" applyBorder="1" applyAlignment="1">
      <alignment horizontal="center" wrapText="1"/>
    </xf>
    <xf numFmtId="0" fontId="3" fillId="2" borderId="24" xfId="0" applyFont="1" applyFill="1" applyBorder="1" applyAlignment="1">
      <alignment horizontal="center" wrapText="1"/>
    </xf>
    <xf numFmtId="0" fontId="3" fillId="2" borderId="25" xfId="0" applyFont="1" applyFill="1" applyBorder="1" applyAlignment="1">
      <alignment horizontal="center" wrapText="1"/>
    </xf>
    <xf numFmtId="0" fontId="3" fillId="3" borderId="15" xfId="0" applyFont="1" applyFill="1" applyBorder="1" applyAlignment="1">
      <alignment horizontal="center"/>
    </xf>
    <xf numFmtId="11" fontId="0" fillId="0" borderId="26" xfId="0" applyNumberFormat="1" applyBorder="1"/>
    <xf numFmtId="0" fontId="20" fillId="0" borderId="8" xfId="0" applyFont="1" applyBorder="1" applyAlignment="1">
      <alignment horizontal="center"/>
    </xf>
    <xf numFmtId="0" fontId="0" fillId="0" borderId="6" xfId="0" applyBorder="1"/>
    <xf numFmtId="0" fontId="0" fillId="0" borderId="27" xfId="0" applyBorder="1"/>
    <xf numFmtId="0" fontId="20" fillId="0" borderId="2" xfId="0" applyFont="1" applyBorder="1" applyAlignment="1">
      <alignment horizontal="center"/>
    </xf>
    <xf numFmtId="0" fontId="11" fillId="0" borderId="16" xfId="0" applyFont="1" applyBorder="1" applyAlignment="1">
      <alignment horizontal="center"/>
    </xf>
    <xf numFmtId="0" fontId="3" fillId="3" borderId="28" xfId="0" applyFont="1" applyFill="1" applyBorder="1" applyAlignment="1">
      <alignment horizontal="center"/>
    </xf>
    <xf numFmtId="0" fontId="0" fillId="3" borderId="6" xfId="0" applyFill="1" applyBorder="1"/>
    <xf numFmtId="3" fontId="0" fillId="0" borderId="3" xfId="0" applyNumberFormat="1" applyBorder="1"/>
    <xf numFmtId="3" fontId="0" fillId="0" borderId="5" xfId="0" applyNumberFormat="1" applyBorder="1"/>
    <xf numFmtId="0" fontId="14" fillId="2" borderId="1" xfId="0" applyFont="1" applyFill="1" applyBorder="1"/>
    <xf numFmtId="11" fontId="14" fillId="2" borderId="1" xfId="0" applyNumberFormat="1" applyFont="1" applyFill="1" applyBorder="1"/>
    <xf numFmtId="0" fontId="2" fillId="2" borderId="1" xfId="0" applyFont="1" applyFill="1" applyBorder="1"/>
    <xf numFmtId="0" fontId="2" fillId="2" borderId="1" xfId="0" applyFont="1" applyFill="1" applyBorder="1" applyAlignment="1">
      <alignment horizontal="center"/>
    </xf>
    <xf numFmtId="168" fontId="2" fillId="2" borderId="1" xfId="0" applyNumberFormat="1" applyFont="1" applyFill="1" applyBorder="1" applyProtection="1">
      <protection hidden="1"/>
    </xf>
    <xf numFmtId="167" fontId="0" fillId="2" borderId="1" xfId="0" applyNumberFormat="1" applyFill="1" applyBorder="1" applyProtection="1">
      <protection hidden="1"/>
    </xf>
    <xf numFmtId="0" fontId="0" fillId="2" borderId="1" xfId="0" applyFill="1" applyBorder="1" applyProtection="1">
      <protection hidden="1"/>
    </xf>
    <xf numFmtId="0" fontId="0" fillId="0" borderId="1" xfId="0" applyBorder="1" applyProtection="1">
      <protection hidden="1"/>
    </xf>
    <xf numFmtId="168" fontId="1" fillId="0" borderId="1" xfId="0" applyNumberFormat="1" applyFont="1" applyFill="1" applyBorder="1" applyProtection="1">
      <protection hidden="1"/>
    </xf>
    <xf numFmtId="167" fontId="1" fillId="0" borderId="1" xfId="0" applyNumberFormat="1" applyFont="1" applyFill="1" applyBorder="1" applyProtection="1">
      <protection hidden="1"/>
    </xf>
    <xf numFmtId="0" fontId="0" fillId="0" borderId="1" xfId="0" applyBorder="1" applyAlignment="1">
      <alignment vertical="center"/>
    </xf>
    <xf numFmtId="0" fontId="21" fillId="0" borderId="0" xfId="0" applyFont="1"/>
    <xf numFmtId="0" fontId="9" fillId="0" borderId="12" xfId="0" applyFont="1" applyBorder="1" applyAlignment="1">
      <alignment horizontal="center" vertical="center" wrapText="1"/>
    </xf>
    <xf numFmtId="0" fontId="2" fillId="0" borderId="13" xfId="0" applyFont="1" applyBorder="1" applyAlignment="1">
      <alignment horizontal="center" vertical="center" wrapText="1"/>
    </xf>
    <xf numFmtId="0" fontId="2" fillId="0" borderId="14" xfId="0" applyFont="1" applyFill="1" applyBorder="1" applyAlignment="1">
      <alignment horizontal="center" vertical="center" wrapText="1"/>
    </xf>
    <xf numFmtId="0" fontId="0" fillId="5" borderId="1" xfId="0" applyFill="1" applyBorder="1"/>
    <xf numFmtId="11" fontId="0" fillId="5" borderId="1" xfId="0" applyNumberFormat="1" applyFill="1" applyBorder="1"/>
    <xf numFmtId="168" fontId="1" fillId="5" borderId="1" xfId="0" applyNumberFormat="1" applyFont="1" applyFill="1" applyBorder="1" applyProtection="1">
      <protection hidden="1"/>
    </xf>
    <xf numFmtId="167" fontId="1" fillId="5" borderId="1" xfId="0" applyNumberFormat="1" applyFont="1" applyFill="1" applyBorder="1" applyProtection="1">
      <protection hidden="1"/>
    </xf>
    <xf numFmtId="0" fontId="0" fillId="5" borderId="1" xfId="0" applyFill="1" applyBorder="1" applyProtection="1">
      <protection hidden="1"/>
    </xf>
    <xf numFmtId="166" fontId="0" fillId="0" borderId="0" xfId="0" applyNumberFormat="1" applyProtection="1">
      <protection locked="0"/>
    </xf>
    <xf numFmtId="165" fontId="0" fillId="0" borderId="1" xfId="0" applyNumberFormat="1" applyBorder="1"/>
    <xf numFmtId="0" fontId="1" fillId="0" borderId="1" xfId="0" applyNumberFormat="1" applyFont="1" applyBorder="1" applyProtection="1">
      <protection locked="0"/>
    </xf>
    <xf numFmtId="0" fontId="17" fillId="0" borderId="29" xfId="0" applyFont="1" applyBorder="1" applyAlignment="1">
      <alignment horizontal="center" wrapText="1"/>
    </xf>
    <xf numFmtId="0" fontId="17" fillId="0" borderId="30" xfId="0" applyFont="1" applyBorder="1" applyAlignment="1">
      <alignment horizontal="center" wrapText="1"/>
    </xf>
    <xf numFmtId="0" fontId="17" fillId="0" borderId="31" xfId="0" applyFont="1" applyBorder="1" applyAlignment="1">
      <alignment horizontal="center" wrapText="1"/>
    </xf>
    <xf numFmtId="0" fontId="17" fillId="0" borderId="32" xfId="0" applyFont="1" applyBorder="1" applyAlignment="1">
      <alignment horizontal="center" wrapText="1"/>
    </xf>
    <xf numFmtId="0" fontId="17" fillId="0" borderId="33" xfId="0" applyFont="1" applyBorder="1" applyAlignment="1">
      <alignment horizontal="center" wrapText="1"/>
    </xf>
    <xf numFmtId="0" fontId="17" fillId="0" borderId="34" xfId="0" applyFont="1" applyBorder="1" applyAlignment="1">
      <alignment horizontal="center" wrapText="1"/>
    </xf>
    <xf numFmtId="0" fontId="22" fillId="0" borderId="29" xfId="0" applyFont="1" applyBorder="1" applyAlignment="1">
      <alignment horizontal="center" wrapText="1"/>
    </xf>
    <xf numFmtId="0" fontId="22" fillId="0" borderId="30" xfId="0" applyFont="1" applyBorder="1" applyAlignment="1">
      <alignment horizontal="center" wrapText="1"/>
    </xf>
    <xf numFmtId="0" fontId="22" fillId="0" borderId="33" xfId="0" applyFont="1" applyBorder="1" applyAlignment="1">
      <alignment horizontal="center" wrapText="1"/>
    </xf>
    <xf numFmtId="0" fontId="22" fillId="0" borderId="35" xfId="0" applyFont="1" applyBorder="1" applyAlignment="1">
      <alignment horizontal="center" wrapText="1"/>
    </xf>
    <xf numFmtId="0" fontId="22" fillId="0" borderId="0" xfId="0" applyFont="1" applyBorder="1" applyAlignment="1">
      <alignment horizontal="center" wrapText="1"/>
    </xf>
    <xf numFmtId="0" fontId="22" fillId="0" borderId="36" xfId="0" applyFont="1" applyBorder="1" applyAlignment="1">
      <alignment horizontal="center" wrapText="1"/>
    </xf>
    <xf numFmtId="0" fontId="22" fillId="0" borderId="31" xfId="0" applyFont="1" applyBorder="1" applyAlignment="1">
      <alignment horizontal="center" wrapText="1"/>
    </xf>
    <xf numFmtId="0" fontId="22" fillId="0" borderId="32" xfId="0" applyFont="1" applyBorder="1" applyAlignment="1">
      <alignment horizontal="center" wrapText="1"/>
    </xf>
    <xf numFmtId="0" fontId="22" fillId="0" borderId="34" xfId="0" applyFont="1" applyBorder="1" applyAlignment="1">
      <alignment horizontal="center" wrapText="1"/>
    </xf>
    <xf numFmtId="0" fontId="0" fillId="0" borderId="8" xfId="0" applyBorder="1" applyAlignment="1" applyProtection="1">
      <alignment horizontal="center"/>
    </xf>
    <xf numFmtId="0" fontId="0" fillId="0" borderId="9" xfId="0" applyBorder="1" applyAlignment="1" applyProtection="1">
      <alignment horizontal="center"/>
    </xf>
    <xf numFmtId="0" fontId="0" fillId="0" borderId="37" xfId="0" applyBorder="1" applyAlignment="1" applyProtection="1">
      <alignment horizontal="center"/>
    </xf>
    <xf numFmtId="0" fontId="0" fillId="0" borderId="2" xfId="0" applyBorder="1" applyAlignment="1" applyProtection="1">
      <alignment horizontal="center"/>
    </xf>
    <xf numFmtId="0" fontId="0" fillId="0" borderId="1" xfId="0" applyBorder="1" applyAlignment="1" applyProtection="1">
      <alignment horizontal="center"/>
    </xf>
    <xf numFmtId="0" fontId="0" fillId="0" borderId="38" xfId="0" applyBorder="1" applyAlignment="1" applyProtection="1">
      <alignment horizontal="center"/>
    </xf>
    <xf numFmtId="0" fontId="3" fillId="0" borderId="2" xfId="0" applyFont="1" applyBorder="1" applyAlignment="1" applyProtection="1">
      <alignment horizontal="center"/>
    </xf>
    <xf numFmtId="0" fontId="3" fillId="0" borderId="1" xfId="0" applyFont="1" applyBorder="1" applyAlignment="1" applyProtection="1">
      <alignment horizontal="center"/>
    </xf>
    <xf numFmtId="0" fontId="3" fillId="0" borderId="38" xfId="0" applyFont="1" applyBorder="1" applyAlignment="1" applyProtection="1">
      <alignment horizontal="center"/>
    </xf>
    <xf numFmtId="0" fontId="0" fillId="0" borderId="16" xfId="0" applyFill="1" applyBorder="1" applyAlignment="1" applyProtection="1">
      <alignment horizontal="center"/>
    </xf>
    <xf numFmtId="0" fontId="0" fillId="0" borderId="4" xfId="0" applyFill="1" applyBorder="1" applyAlignment="1" applyProtection="1">
      <alignment horizontal="center"/>
    </xf>
    <xf numFmtId="0" fontId="0" fillId="0" borderId="5" xfId="0" applyFill="1" applyBorder="1" applyAlignment="1" applyProtection="1">
      <alignment horizontal="center"/>
    </xf>
    <xf numFmtId="0" fontId="0" fillId="4" borderId="2" xfId="0" applyFill="1" applyBorder="1" applyAlignment="1" applyProtection="1">
      <alignment horizontal="center"/>
    </xf>
    <xf numFmtId="0" fontId="0" fillId="4" borderId="1" xfId="0" applyFill="1" applyBorder="1" applyAlignment="1" applyProtection="1">
      <alignment horizontal="center"/>
    </xf>
    <xf numFmtId="0" fontId="0" fillId="4" borderId="3" xfId="0" applyFill="1" applyBorder="1" applyAlignment="1" applyProtection="1">
      <alignment horizontal="center"/>
    </xf>
    <xf numFmtId="0" fontId="0" fillId="0" borderId="39" xfId="0" applyBorder="1" applyAlignment="1" applyProtection="1">
      <alignment horizontal="center"/>
    </xf>
    <xf numFmtId="0" fontId="0" fillId="0" borderId="7" xfId="0" applyBorder="1" applyAlignment="1" applyProtection="1">
      <alignment horizontal="center"/>
    </xf>
    <xf numFmtId="0" fontId="0" fillId="0" borderId="10" xfId="0" applyBorder="1" applyAlignment="1" applyProtection="1">
      <alignment horizontal="center"/>
    </xf>
    <xf numFmtId="0" fontId="0" fillId="4" borderId="8" xfId="0" applyFill="1" applyBorder="1" applyAlignment="1" applyProtection="1">
      <alignment horizontal="center"/>
    </xf>
    <xf numFmtId="0" fontId="0" fillId="4" borderId="9" xfId="0" applyFill="1" applyBorder="1" applyAlignment="1" applyProtection="1">
      <alignment horizontal="center"/>
    </xf>
    <xf numFmtId="0" fontId="0" fillId="4" borderId="6" xfId="0" applyFill="1" applyBorder="1" applyAlignment="1" applyProtection="1">
      <alignment horizontal="center"/>
    </xf>
  </cellXfs>
  <cellStyles count="1">
    <cellStyle name="Normal" xfId="0" builtinId="0"/>
  </cellStyles>
  <dxfs count="9">
    <dxf>
      <fill>
        <patternFill>
          <bgColor indexed="11"/>
        </patternFill>
      </fill>
    </dxf>
    <dxf>
      <fill>
        <patternFill>
          <bgColor indexed="26"/>
        </patternFill>
      </fill>
    </dxf>
    <dxf>
      <fill>
        <patternFill>
          <bgColor indexed="11"/>
        </patternFill>
      </fill>
    </dxf>
    <dxf>
      <fill>
        <patternFill>
          <bgColor indexed="27"/>
        </patternFill>
      </fill>
    </dxf>
    <dxf>
      <fill>
        <patternFill>
          <bgColor indexed="26"/>
        </patternFill>
      </fill>
    </dxf>
    <dxf>
      <fill>
        <patternFill>
          <bgColor indexed="11"/>
        </patternFill>
      </fill>
    </dxf>
    <dxf>
      <fill>
        <patternFill>
          <bgColor indexed="27"/>
        </patternFill>
      </fill>
    </dxf>
    <dxf>
      <fill>
        <patternFill>
          <bgColor indexed="15"/>
        </patternFill>
      </fill>
    </dxf>
    <dxf>
      <fill>
        <patternFill>
          <bgColor indexed="1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_rels/chart3.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4.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ru-RU" sz="1000" b="1" i="0" u="none" strike="noStrike" baseline="0">
                <a:solidFill>
                  <a:srgbClr val="000000"/>
                </a:solidFill>
                <a:latin typeface="Arial"/>
                <a:cs typeface="Arial"/>
              </a:rPr>
              <a:t>Рис. 9.1  Зависимость </a:t>
            </a:r>
            <a:r>
              <a:rPr lang="ru-RU" sz="1000" b="1" i="1" u="none" strike="noStrike" baseline="0">
                <a:solidFill>
                  <a:srgbClr val="000000"/>
                </a:solidFill>
                <a:latin typeface="Arial"/>
                <a:cs typeface="Arial"/>
              </a:rPr>
              <a:t>Колличества итераций</a:t>
            </a:r>
            <a:r>
              <a:rPr lang="ru-RU" sz="1000" b="1" i="0" u="none" strike="noStrike" baseline="0">
                <a:solidFill>
                  <a:srgbClr val="000000"/>
                </a:solidFill>
                <a:latin typeface="Arial"/>
                <a:cs typeface="Arial"/>
              </a:rPr>
              <a:t> от </a:t>
            </a:r>
            <a:r>
              <a:rPr lang="ru-RU" sz="1000" b="1" i="1" u="none" strike="noStrike" baseline="0">
                <a:solidFill>
                  <a:srgbClr val="000000"/>
                </a:solidFill>
                <a:latin typeface="Arial"/>
                <a:cs typeface="Arial"/>
              </a:rPr>
              <a:t>Допустимой погрешности</a:t>
            </a:r>
          </a:p>
        </c:rich>
      </c:tx>
      <c:layout>
        <c:manualLayout>
          <c:xMode val="edge"/>
          <c:yMode val="edge"/>
          <c:x val="0.1796875"/>
          <c:y val="2.5078408292528366E-2"/>
        </c:manualLayout>
      </c:layout>
      <c:overlay val="0"/>
      <c:spPr>
        <a:noFill/>
        <a:ln w="25400">
          <a:noFill/>
        </a:ln>
      </c:spPr>
    </c:title>
    <c:autoTitleDeleted val="0"/>
    <c:plotArea>
      <c:layout>
        <c:manualLayout>
          <c:layoutTarget val="inner"/>
          <c:xMode val="edge"/>
          <c:yMode val="edge"/>
          <c:x val="0.119140625"/>
          <c:y val="0.17868365908426462"/>
          <c:w val="0.853515625"/>
          <c:h val="0.53605097725279383"/>
        </c:manualLayout>
      </c:layout>
      <c:lineChart>
        <c:grouping val="standard"/>
        <c:varyColors val="0"/>
        <c:ser>
          <c:idx val="0"/>
          <c:order val="0"/>
          <c:spPr>
            <a:ln w="12700">
              <a:solidFill>
                <a:srgbClr val="000080"/>
              </a:solidFill>
              <a:prstDash val="solid"/>
            </a:ln>
          </c:spPr>
          <c:marker>
            <c:symbol val="diamond"/>
            <c:size val="5"/>
            <c:spPr>
              <a:solidFill>
                <a:srgbClr val="000080"/>
              </a:solidFill>
              <a:ln>
                <a:solidFill>
                  <a:srgbClr val="000080"/>
                </a:solidFill>
                <a:prstDash val="solid"/>
              </a:ln>
            </c:spPr>
          </c:marker>
          <c:cat>
            <c:numRef>
              <c:f>sheet5!$G$14:$G$22</c:f>
              <c:numCache>
                <c:formatCode>General</c:formatCode>
                <c:ptCount val="9"/>
                <c:pt idx="0">
                  <c:v>1.0000000000000002E-3</c:v>
                </c:pt>
                <c:pt idx="1">
                  <c:v>1.0000000000000003E-4</c:v>
                </c:pt>
                <c:pt idx="2">
                  <c:v>1.0000000000000006E-5</c:v>
                </c:pt>
                <c:pt idx="3">
                  <c:v>1.0000000000000006E-6</c:v>
                </c:pt>
                <c:pt idx="4">
                  <c:v>1.0000000000000006E-7</c:v>
                </c:pt>
                <c:pt idx="5">
                  <c:v>1.0000000000000008E-8</c:v>
                </c:pt>
                <c:pt idx="6">
                  <c:v>1.0000000000000009E-9</c:v>
                </c:pt>
                <c:pt idx="7">
                  <c:v>1.0000000000000009E-10</c:v>
                </c:pt>
                <c:pt idx="8">
                  <c:v>1.0000000000000011E-11</c:v>
                </c:pt>
              </c:numCache>
            </c:numRef>
          </c:cat>
          <c:val>
            <c:numRef>
              <c:f>sheet5!$F$14:$F$22</c:f>
              <c:numCache>
                <c:formatCode>General</c:formatCode>
                <c:ptCount val="9"/>
                <c:pt idx="0">
                  <c:v>50</c:v>
                </c:pt>
                <c:pt idx="1">
                  <c:v>54</c:v>
                </c:pt>
                <c:pt idx="2">
                  <c:v>59</c:v>
                </c:pt>
                <c:pt idx="3">
                  <c:v>64</c:v>
                </c:pt>
                <c:pt idx="4">
                  <c:v>69</c:v>
                </c:pt>
                <c:pt idx="5">
                  <c:v>74</c:v>
                </c:pt>
                <c:pt idx="6">
                  <c:v>78</c:v>
                </c:pt>
                <c:pt idx="7">
                  <c:v>83</c:v>
                </c:pt>
                <c:pt idx="8">
                  <c:v>88</c:v>
                </c:pt>
              </c:numCache>
            </c:numRef>
          </c:val>
          <c:smooth val="0"/>
          <c:extLst xmlns:c16r2="http://schemas.microsoft.com/office/drawing/2015/06/chart">
            <c:ext xmlns:c16="http://schemas.microsoft.com/office/drawing/2014/chart" uri="{C3380CC4-5D6E-409C-BE32-E72D297353CC}">
              <c16:uniqueId val="{00000000-ED85-4048-AE54-85B85AD56B12}"/>
            </c:ext>
          </c:extLst>
        </c:ser>
        <c:dLbls>
          <c:showLegendKey val="0"/>
          <c:showVal val="0"/>
          <c:showCatName val="0"/>
          <c:showSerName val="0"/>
          <c:showPercent val="0"/>
          <c:showBubbleSize val="0"/>
        </c:dLbls>
        <c:marker val="1"/>
        <c:smooth val="0"/>
        <c:axId val="-1249627120"/>
        <c:axId val="-1249633648"/>
      </c:lineChart>
      <c:catAx>
        <c:axId val="-1249627120"/>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ru-RU"/>
                  <a:t>Допустимая погрешность</a:t>
                </a:r>
              </a:p>
            </c:rich>
          </c:tx>
          <c:layout>
            <c:manualLayout>
              <c:xMode val="edge"/>
              <c:yMode val="edge"/>
              <c:x val="0.37890625"/>
              <c:y val="0.88087909127505892"/>
            </c:manualLayout>
          </c:layout>
          <c:overlay val="0"/>
          <c:spPr>
            <a:noFill/>
            <a:ln w="25400">
              <a:noFill/>
            </a:ln>
          </c:spPr>
        </c:title>
        <c:numFmt formatCode="0.00E+00" sourceLinked="0"/>
        <c:majorTickMark val="out"/>
        <c:minorTickMark val="none"/>
        <c:tickLblPos val="nextTo"/>
        <c:spPr>
          <a:ln w="3175">
            <a:solidFill>
              <a:srgbClr val="000000"/>
            </a:solidFill>
            <a:prstDash val="solid"/>
          </a:ln>
        </c:spPr>
        <c:txPr>
          <a:bodyPr rot="-5400000" vert="horz"/>
          <a:lstStyle/>
          <a:p>
            <a:pPr>
              <a:defRPr sz="800" b="0" i="0" u="none" strike="noStrike" baseline="0">
                <a:solidFill>
                  <a:srgbClr val="000000"/>
                </a:solidFill>
                <a:latin typeface="Arial"/>
                <a:ea typeface="Arial"/>
                <a:cs typeface="Arial"/>
              </a:defRPr>
            </a:pPr>
            <a:endParaRPr lang="en-US"/>
          </a:p>
        </c:txPr>
        <c:crossAx val="-1249633648"/>
        <c:crosses val="autoZero"/>
        <c:auto val="1"/>
        <c:lblAlgn val="ctr"/>
        <c:lblOffset val="100"/>
        <c:tickLblSkip val="1"/>
        <c:tickMarkSkip val="1"/>
        <c:noMultiLvlLbl val="0"/>
      </c:catAx>
      <c:valAx>
        <c:axId val="-1249633648"/>
        <c:scaling>
          <c:orientation val="minMax"/>
          <c:max val="80"/>
          <c:min val="40"/>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rPr lang="ru-RU"/>
                  <a:t>Колличество итераций</a:t>
                </a:r>
              </a:p>
            </c:rich>
          </c:tx>
          <c:layout>
            <c:manualLayout>
              <c:xMode val="edge"/>
              <c:yMode val="edge"/>
              <c:x val="3.125E-2"/>
              <c:y val="0.2037620673767929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249627120"/>
        <c:crosses val="autoZero"/>
        <c:crossBetween val="between"/>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ru-RU" sz="1000" b="1" i="0" u="none" strike="noStrike" baseline="0">
                <a:solidFill>
                  <a:srgbClr val="000000"/>
                </a:solidFill>
                <a:latin typeface="Arial"/>
                <a:cs typeface="Arial"/>
              </a:rPr>
              <a:t>Рис. 9.2  Зависимость </a:t>
            </a:r>
            <a:r>
              <a:rPr lang="ru-RU" sz="1000" b="1" i="1" u="none" strike="noStrike" baseline="0">
                <a:solidFill>
                  <a:srgbClr val="000000"/>
                </a:solidFill>
                <a:latin typeface="Arial"/>
                <a:cs typeface="Arial"/>
              </a:rPr>
              <a:t>Колличества итераций</a:t>
            </a:r>
            <a:r>
              <a:rPr lang="ru-RU" sz="1000" b="1" i="0" u="none" strike="noStrike" baseline="0">
                <a:solidFill>
                  <a:srgbClr val="000000"/>
                </a:solidFill>
                <a:latin typeface="Arial"/>
                <a:cs typeface="Arial"/>
              </a:rPr>
              <a:t> от </a:t>
            </a:r>
            <a:r>
              <a:rPr lang="ru-RU" sz="1000" b="1" i="1" u="none" strike="noStrike" baseline="0">
                <a:solidFill>
                  <a:srgbClr val="000000"/>
                </a:solidFill>
                <a:latin typeface="Arial"/>
                <a:cs typeface="Arial"/>
              </a:rPr>
              <a:t>Размера области поиска</a:t>
            </a:r>
          </a:p>
        </c:rich>
      </c:tx>
      <c:layout>
        <c:manualLayout>
          <c:xMode val="edge"/>
          <c:yMode val="edge"/>
          <c:x val="0.12109375"/>
          <c:y val="3.5947827141503082E-2"/>
        </c:manualLayout>
      </c:layout>
      <c:overlay val="0"/>
      <c:spPr>
        <a:noFill/>
        <a:ln w="25400">
          <a:noFill/>
        </a:ln>
      </c:spPr>
    </c:title>
    <c:autoTitleDeleted val="0"/>
    <c:plotArea>
      <c:layout>
        <c:manualLayout>
          <c:layoutTarget val="inner"/>
          <c:xMode val="edge"/>
          <c:yMode val="edge"/>
          <c:x val="0.119140625"/>
          <c:y val="0.18300711999310659"/>
          <c:w val="0.853515625"/>
          <c:h val="0.51307353283781676"/>
        </c:manualLayout>
      </c:layout>
      <c:lineChart>
        <c:grouping val="standard"/>
        <c:varyColors val="0"/>
        <c:ser>
          <c:idx val="0"/>
          <c:order val="0"/>
          <c:spPr>
            <a:ln w="12700">
              <a:solidFill>
                <a:srgbClr val="000080"/>
              </a:solidFill>
              <a:prstDash val="solid"/>
            </a:ln>
          </c:spPr>
          <c:marker>
            <c:symbol val="diamond"/>
            <c:size val="5"/>
            <c:spPr>
              <a:solidFill>
                <a:srgbClr val="000080"/>
              </a:solidFill>
              <a:ln>
                <a:solidFill>
                  <a:srgbClr val="000080"/>
                </a:solidFill>
                <a:prstDash val="solid"/>
              </a:ln>
            </c:spPr>
          </c:marker>
          <c:cat>
            <c:numRef>
              <c:f>sheet5!$H$28:$H$36</c:f>
              <c:numCache>
                <c:formatCode>#,##0</c:formatCode>
                <c:ptCount val="9"/>
                <c:pt idx="0">
                  <c:v>100000000000</c:v>
                </c:pt>
                <c:pt idx="1">
                  <c:v>10000000000</c:v>
                </c:pt>
                <c:pt idx="2">
                  <c:v>1000000000</c:v>
                </c:pt>
                <c:pt idx="3">
                  <c:v>100000000</c:v>
                </c:pt>
                <c:pt idx="4">
                  <c:v>10000000</c:v>
                </c:pt>
                <c:pt idx="5">
                  <c:v>1000000</c:v>
                </c:pt>
                <c:pt idx="6">
                  <c:v>100000</c:v>
                </c:pt>
                <c:pt idx="7">
                  <c:v>10000</c:v>
                </c:pt>
                <c:pt idx="8">
                  <c:v>1000</c:v>
                </c:pt>
              </c:numCache>
            </c:numRef>
          </c:cat>
          <c:val>
            <c:numRef>
              <c:f>sheet5!$F$28:$F$36</c:f>
              <c:numCache>
                <c:formatCode>General</c:formatCode>
                <c:ptCount val="9"/>
                <c:pt idx="0">
                  <c:v>74</c:v>
                </c:pt>
                <c:pt idx="1">
                  <c:v>69</c:v>
                </c:pt>
                <c:pt idx="2">
                  <c:v>64</c:v>
                </c:pt>
                <c:pt idx="3">
                  <c:v>59</c:v>
                </c:pt>
                <c:pt idx="4">
                  <c:v>54</c:v>
                </c:pt>
                <c:pt idx="5">
                  <c:v>50</c:v>
                </c:pt>
                <c:pt idx="6">
                  <c:v>45</c:v>
                </c:pt>
                <c:pt idx="7">
                  <c:v>40</c:v>
                </c:pt>
                <c:pt idx="8">
                  <c:v>35</c:v>
                </c:pt>
              </c:numCache>
            </c:numRef>
          </c:val>
          <c:smooth val="0"/>
          <c:extLst xmlns:c16r2="http://schemas.microsoft.com/office/drawing/2015/06/chart">
            <c:ext xmlns:c16="http://schemas.microsoft.com/office/drawing/2014/chart" uri="{C3380CC4-5D6E-409C-BE32-E72D297353CC}">
              <c16:uniqueId val="{00000000-86B4-495B-853D-ED2C02D3B539}"/>
            </c:ext>
          </c:extLst>
        </c:ser>
        <c:dLbls>
          <c:showLegendKey val="0"/>
          <c:showVal val="0"/>
          <c:showCatName val="0"/>
          <c:showSerName val="0"/>
          <c:showPercent val="0"/>
          <c:showBubbleSize val="0"/>
        </c:dLbls>
        <c:marker val="1"/>
        <c:smooth val="0"/>
        <c:axId val="-1249624944"/>
        <c:axId val="-1249629296"/>
      </c:lineChart>
      <c:catAx>
        <c:axId val="-1249624944"/>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ru-RU"/>
                  <a:t>Размер области поиска</a:t>
                </a:r>
              </a:p>
            </c:rich>
          </c:tx>
          <c:layout>
            <c:manualLayout>
              <c:xMode val="edge"/>
              <c:yMode val="edge"/>
              <c:x val="0.388671875"/>
              <c:y val="0.87581978853843867"/>
            </c:manualLayout>
          </c:layout>
          <c:overlay val="0"/>
          <c:spPr>
            <a:noFill/>
            <a:ln w="25400">
              <a:noFill/>
            </a:ln>
          </c:spPr>
        </c:title>
        <c:numFmt formatCode="0.00E+00" sourceLinked="0"/>
        <c:majorTickMark val="out"/>
        <c:minorTickMark val="none"/>
        <c:tickLblPos val="nextTo"/>
        <c:spPr>
          <a:ln w="3175">
            <a:solidFill>
              <a:srgbClr val="000000"/>
            </a:solidFill>
            <a:prstDash val="solid"/>
          </a:ln>
        </c:spPr>
        <c:txPr>
          <a:bodyPr rot="-5400000" vert="horz"/>
          <a:lstStyle/>
          <a:p>
            <a:pPr>
              <a:defRPr sz="800" b="0" i="0" u="none" strike="noStrike" baseline="0">
                <a:solidFill>
                  <a:srgbClr val="000000"/>
                </a:solidFill>
                <a:latin typeface="Arial"/>
                <a:ea typeface="Arial"/>
                <a:cs typeface="Arial"/>
              </a:defRPr>
            </a:pPr>
            <a:endParaRPr lang="en-US"/>
          </a:p>
        </c:txPr>
        <c:crossAx val="-1249629296"/>
        <c:crosses val="autoZero"/>
        <c:auto val="1"/>
        <c:lblAlgn val="ctr"/>
        <c:lblOffset val="100"/>
        <c:tickLblSkip val="1"/>
        <c:tickMarkSkip val="1"/>
        <c:noMultiLvlLbl val="0"/>
      </c:catAx>
      <c:valAx>
        <c:axId val="-1249629296"/>
        <c:scaling>
          <c:orientation val="minMax"/>
          <c:max val="75"/>
          <c:min val="35"/>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rPr lang="ru-RU"/>
                  <a:t>Колличество итераций</a:t>
                </a:r>
              </a:p>
            </c:rich>
          </c:tx>
          <c:layout>
            <c:manualLayout>
              <c:xMode val="edge"/>
              <c:yMode val="edge"/>
              <c:x val="3.125E-2"/>
              <c:y val="0.1862751042786977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249624944"/>
        <c:crosses val="autoZero"/>
        <c:crossBetween val="between"/>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ru-RU"/>
              <a:t>Рис.</a:t>
            </a:r>
            <a:r>
              <a:rPr lang="ru-RU" baseline="0"/>
              <a:t> 9.1 Зависимость Колличества итераций от Допустимой погрешности</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sheet5!$G$12:$G$24</c:f>
              <c:numCache>
                <c:formatCode>General</c:formatCode>
                <c:ptCount val="13"/>
                <c:pt idx="0">
                  <c:v>0.1</c:v>
                </c:pt>
                <c:pt idx="1">
                  <c:v>0.01</c:v>
                </c:pt>
                <c:pt idx="2">
                  <c:v>1.0000000000000002E-3</c:v>
                </c:pt>
                <c:pt idx="3">
                  <c:v>1.0000000000000003E-4</c:v>
                </c:pt>
                <c:pt idx="4">
                  <c:v>1.0000000000000006E-5</c:v>
                </c:pt>
                <c:pt idx="5">
                  <c:v>1.0000000000000006E-6</c:v>
                </c:pt>
                <c:pt idx="6">
                  <c:v>1.0000000000000006E-7</c:v>
                </c:pt>
                <c:pt idx="7">
                  <c:v>1.0000000000000008E-8</c:v>
                </c:pt>
                <c:pt idx="8">
                  <c:v>1.0000000000000009E-9</c:v>
                </c:pt>
                <c:pt idx="9">
                  <c:v>1.0000000000000009E-10</c:v>
                </c:pt>
                <c:pt idx="10">
                  <c:v>1.0000000000000011E-11</c:v>
                </c:pt>
                <c:pt idx="11">
                  <c:v>1.0000000000000012E-12</c:v>
                </c:pt>
                <c:pt idx="12">
                  <c:v>1.0000000000000014E-13</c:v>
                </c:pt>
              </c:numCache>
            </c:numRef>
          </c:cat>
          <c:val>
            <c:numRef>
              <c:f>sheet5!$F$12:$F$24</c:f>
              <c:numCache>
                <c:formatCode>General</c:formatCode>
                <c:ptCount val="13"/>
                <c:pt idx="0">
                  <c:v>40</c:v>
                </c:pt>
                <c:pt idx="1">
                  <c:v>45</c:v>
                </c:pt>
                <c:pt idx="2">
                  <c:v>50</c:v>
                </c:pt>
                <c:pt idx="3">
                  <c:v>54</c:v>
                </c:pt>
                <c:pt idx="4">
                  <c:v>59</c:v>
                </c:pt>
                <c:pt idx="5">
                  <c:v>64</c:v>
                </c:pt>
                <c:pt idx="6">
                  <c:v>69</c:v>
                </c:pt>
                <c:pt idx="7">
                  <c:v>74</c:v>
                </c:pt>
                <c:pt idx="8">
                  <c:v>78</c:v>
                </c:pt>
                <c:pt idx="9">
                  <c:v>83</c:v>
                </c:pt>
                <c:pt idx="10">
                  <c:v>88</c:v>
                </c:pt>
                <c:pt idx="11">
                  <c:v>93</c:v>
                </c:pt>
                <c:pt idx="12">
                  <c:v>98</c:v>
                </c:pt>
              </c:numCache>
            </c:numRef>
          </c:val>
          <c:smooth val="0"/>
          <c:extLst xmlns:c16r2="http://schemas.microsoft.com/office/drawing/2015/06/chart">
            <c:ext xmlns:c16="http://schemas.microsoft.com/office/drawing/2014/chart" uri="{C3380CC4-5D6E-409C-BE32-E72D297353CC}">
              <c16:uniqueId val="{00000000-4467-446C-A4A7-096A151488EA}"/>
            </c:ext>
          </c:extLst>
        </c:ser>
        <c:dLbls>
          <c:showLegendKey val="0"/>
          <c:showVal val="0"/>
          <c:showCatName val="0"/>
          <c:showSerName val="0"/>
          <c:showPercent val="0"/>
          <c:showBubbleSize val="0"/>
        </c:dLbls>
        <c:marker val="1"/>
        <c:smooth val="0"/>
        <c:axId val="-1249626576"/>
        <c:axId val="-1249630928"/>
      </c:lineChart>
      <c:catAx>
        <c:axId val="-124962657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a:t>Допустимая погрешность</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E+00" sourceLinked="0"/>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9630928"/>
        <c:crosses val="autoZero"/>
        <c:auto val="1"/>
        <c:lblAlgn val="ctr"/>
        <c:lblOffset val="100"/>
        <c:noMultiLvlLbl val="0"/>
      </c:catAx>
      <c:valAx>
        <c:axId val="-1249630928"/>
        <c:scaling>
          <c:orientation val="minMax"/>
          <c:min val="35"/>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a:t>Колличество итераций</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96265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ru-RU"/>
              <a:t>Рис.</a:t>
            </a:r>
            <a:r>
              <a:rPr lang="ru-RU" baseline="0"/>
              <a:t> 9.2 Зависимость Колличества итераций от Размера области поиска</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sheet5!$H$28:$H$39</c:f>
              <c:numCache>
                <c:formatCode>#,##0</c:formatCode>
                <c:ptCount val="12"/>
                <c:pt idx="0">
                  <c:v>100000000000</c:v>
                </c:pt>
                <c:pt idx="1">
                  <c:v>10000000000</c:v>
                </c:pt>
                <c:pt idx="2">
                  <c:v>1000000000</c:v>
                </c:pt>
                <c:pt idx="3">
                  <c:v>100000000</c:v>
                </c:pt>
                <c:pt idx="4">
                  <c:v>10000000</c:v>
                </c:pt>
                <c:pt idx="5">
                  <c:v>1000000</c:v>
                </c:pt>
                <c:pt idx="6">
                  <c:v>100000</c:v>
                </c:pt>
                <c:pt idx="7">
                  <c:v>10000</c:v>
                </c:pt>
                <c:pt idx="8">
                  <c:v>1000</c:v>
                </c:pt>
                <c:pt idx="9">
                  <c:v>100</c:v>
                </c:pt>
                <c:pt idx="10">
                  <c:v>10</c:v>
                </c:pt>
                <c:pt idx="11">
                  <c:v>1</c:v>
                </c:pt>
              </c:numCache>
            </c:numRef>
          </c:cat>
          <c:val>
            <c:numRef>
              <c:f>sheet5!$F$28:$F$39</c:f>
              <c:numCache>
                <c:formatCode>General</c:formatCode>
                <c:ptCount val="12"/>
                <c:pt idx="0">
                  <c:v>74</c:v>
                </c:pt>
                <c:pt idx="1">
                  <c:v>69</c:v>
                </c:pt>
                <c:pt idx="2">
                  <c:v>64</c:v>
                </c:pt>
                <c:pt idx="3">
                  <c:v>59</c:v>
                </c:pt>
                <c:pt idx="4">
                  <c:v>54</c:v>
                </c:pt>
                <c:pt idx="5">
                  <c:v>50</c:v>
                </c:pt>
                <c:pt idx="6">
                  <c:v>45</c:v>
                </c:pt>
                <c:pt idx="7">
                  <c:v>40</c:v>
                </c:pt>
                <c:pt idx="8">
                  <c:v>35</c:v>
                </c:pt>
                <c:pt idx="9">
                  <c:v>31</c:v>
                </c:pt>
                <c:pt idx="10">
                  <c:v>26</c:v>
                </c:pt>
                <c:pt idx="11">
                  <c:v>21</c:v>
                </c:pt>
              </c:numCache>
            </c:numRef>
          </c:val>
          <c:smooth val="0"/>
          <c:extLst xmlns:c16r2="http://schemas.microsoft.com/office/drawing/2015/06/chart">
            <c:ext xmlns:c16="http://schemas.microsoft.com/office/drawing/2014/chart" uri="{C3380CC4-5D6E-409C-BE32-E72D297353CC}">
              <c16:uniqueId val="{00000000-E4FE-4C03-AB46-E1CFFCA0882B}"/>
            </c:ext>
          </c:extLst>
        </c:ser>
        <c:dLbls>
          <c:showLegendKey val="0"/>
          <c:showVal val="0"/>
          <c:showCatName val="0"/>
          <c:showSerName val="0"/>
          <c:showPercent val="0"/>
          <c:showBubbleSize val="0"/>
        </c:dLbls>
        <c:marker val="1"/>
        <c:smooth val="0"/>
        <c:axId val="-1249639632"/>
        <c:axId val="-1249638000"/>
      </c:lineChart>
      <c:catAx>
        <c:axId val="-124963963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a:t>Размер области поиска</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E+00" sourceLinked="0"/>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9638000"/>
        <c:crosses val="autoZero"/>
        <c:auto val="1"/>
        <c:lblAlgn val="ctr"/>
        <c:lblOffset val="100"/>
        <c:noMultiLvlLbl val="0"/>
      </c:catAx>
      <c:valAx>
        <c:axId val="-1249638000"/>
        <c:scaling>
          <c:orientation val="minMax"/>
          <c:max val="80"/>
          <c:min val="15"/>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a:t>Колличество</a:t>
                </a:r>
                <a:r>
                  <a:rPr lang="ru-RU" baseline="0"/>
                  <a:t> итераций</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96396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List" dx="16" fmlaLink="$L$1" fmlaRange="$H$4:$H$24" noThreeD="1" sel="1" val="0"/>
</file>

<file path=xl/ctrlProps/ctrlProp2.xml><?xml version="1.0" encoding="utf-8"?>
<formControlPr xmlns="http://schemas.microsoft.com/office/spreadsheetml/2009/9/main" objectType="List" dx="16" fmlaLink="H6" fmlaRange="G5:G6" sel="0" val="0"/>
</file>

<file path=xl/ctrlProps/ctrlProp3.xml><?xml version="1.0" encoding="utf-8"?>
<formControlPr xmlns="http://schemas.microsoft.com/office/spreadsheetml/2009/9/main" objectType="Drop" dropLines="13" dropStyle="combo" dx="16" fmlaLink="$P$6" fmlaRange="$O$7:$O$19" sel="2" val="0"/>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61913</xdr:colOff>
          <xdr:row>5</xdr:row>
          <xdr:rowOff>0</xdr:rowOff>
        </xdr:from>
        <xdr:to>
          <xdr:col>5</xdr:col>
          <xdr:colOff>166688</xdr:colOff>
          <xdr:row>21</xdr:row>
          <xdr:rowOff>52388</xdr:rowOff>
        </xdr:to>
        <xdr:sp macro="" textlink="">
          <xdr:nvSpPr>
            <xdr:cNvPr id="2073" name="List Box 25" hidden="1">
              <a:extLst>
                <a:ext uri="{63B3BB69-23CF-44E3-9099-C40C66FF867C}">
                  <a14:compatExt spid="_x0000_s2073"/>
                </a:ext>
                <a:ext uri="{FF2B5EF4-FFF2-40B4-BE49-F238E27FC236}">
                  <a16:creationId xmlns:a16="http://schemas.microsoft.com/office/drawing/2014/main" xmlns="" id="{00000000-0008-0000-0200-000019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14288</xdr:colOff>
          <xdr:row>3</xdr:row>
          <xdr:rowOff>304800</xdr:rowOff>
        </xdr:from>
        <xdr:to>
          <xdr:col>8</xdr:col>
          <xdr:colOff>14288</xdr:colOff>
          <xdr:row>5</xdr:row>
          <xdr:rowOff>214313</xdr:rowOff>
        </xdr:to>
        <xdr:sp macro="" textlink="">
          <xdr:nvSpPr>
            <xdr:cNvPr id="1272" name="List Box 248" hidden="1">
              <a:extLst>
                <a:ext uri="{63B3BB69-23CF-44E3-9099-C40C66FF867C}">
                  <a14:compatExt spid="_x0000_s1272"/>
                </a:ext>
                <a:ext uri="{FF2B5EF4-FFF2-40B4-BE49-F238E27FC236}">
                  <a16:creationId xmlns:a16="http://schemas.microsoft.com/office/drawing/2014/main" xmlns="" id="{00000000-0008-0000-0300-0000F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14288</xdr:colOff>
          <xdr:row>5</xdr:row>
          <xdr:rowOff>14288</xdr:rowOff>
        </xdr:from>
        <xdr:to>
          <xdr:col>9</xdr:col>
          <xdr:colOff>14288</xdr:colOff>
          <xdr:row>6</xdr:row>
          <xdr:rowOff>14288</xdr:rowOff>
        </xdr:to>
        <xdr:sp macro="" textlink="">
          <xdr:nvSpPr>
            <xdr:cNvPr id="1274" name="Drop Down 250" hidden="1">
              <a:extLst>
                <a:ext uri="{63B3BB69-23CF-44E3-9099-C40C66FF867C}">
                  <a14:compatExt spid="_x0000_s1274"/>
                </a:ext>
                <a:ext uri="{FF2B5EF4-FFF2-40B4-BE49-F238E27FC236}">
                  <a16:creationId xmlns:a16="http://schemas.microsoft.com/office/drawing/2014/main" xmlns="" id="{00000000-0008-0000-0300-0000F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114300</xdr:colOff>
          <xdr:row>24</xdr:row>
          <xdr:rowOff>90488</xdr:rowOff>
        </xdr:from>
        <xdr:to>
          <xdr:col>2</xdr:col>
          <xdr:colOff>547688</xdr:colOff>
          <xdr:row>26</xdr:row>
          <xdr:rowOff>138113</xdr:rowOff>
        </xdr:to>
        <xdr:sp macro="" textlink="">
          <xdr:nvSpPr>
            <xdr:cNvPr id="1277" name="Button 253" hidden="1">
              <a:extLst>
                <a:ext uri="{63B3BB69-23CF-44E3-9099-C40C66FF867C}">
                  <a14:compatExt spid="_x0000_s1277"/>
                </a:ext>
                <a:ext uri="{FF2B5EF4-FFF2-40B4-BE49-F238E27FC236}">
                  <a16:creationId xmlns:a16="http://schemas.microsoft.com/office/drawing/2014/main" xmlns="" id="{00000000-0008-0000-0300-0000FD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000" b="0" i="0" u="none" strike="noStrike" baseline="0">
                  <a:solidFill>
                    <a:srgbClr val="000000"/>
                  </a:solidFill>
                  <a:latin typeface="Calibri"/>
                  <a:cs typeface="Calibri"/>
                </a:rPr>
                <a:t>k max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252413</xdr:colOff>
          <xdr:row>24</xdr:row>
          <xdr:rowOff>138113</xdr:rowOff>
        </xdr:from>
        <xdr:to>
          <xdr:col>6</xdr:col>
          <xdr:colOff>90488</xdr:colOff>
          <xdr:row>27</xdr:row>
          <xdr:rowOff>23813</xdr:rowOff>
        </xdr:to>
        <xdr:sp macro="" textlink="">
          <xdr:nvSpPr>
            <xdr:cNvPr id="1278" name="Button 254" hidden="1">
              <a:extLst>
                <a:ext uri="{63B3BB69-23CF-44E3-9099-C40C66FF867C}">
                  <a14:compatExt spid="_x0000_s1278"/>
                </a:ext>
                <a:ext uri="{FF2B5EF4-FFF2-40B4-BE49-F238E27FC236}">
                  <a16:creationId xmlns:a16="http://schemas.microsoft.com/office/drawing/2014/main" xmlns="" id="{B94D0F03-814C-2044-B1F5-F9EDE2461A1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000" b="0" i="0" u="none" strike="noStrike" baseline="0">
                  <a:solidFill>
                    <a:srgbClr val="000000"/>
                  </a:solidFill>
                  <a:latin typeface="Calibri"/>
                  <a:cs typeface="Calibri"/>
                </a:rPr>
                <a:t>tol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17</xdr:col>
      <xdr:colOff>66675</xdr:colOff>
      <xdr:row>9</xdr:row>
      <xdr:rowOff>123825</xdr:rowOff>
    </xdr:from>
    <xdr:to>
      <xdr:col>25</xdr:col>
      <xdr:colOff>66675</xdr:colOff>
      <xdr:row>26</xdr:row>
      <xdr:rowOff>247650</xdr:rowOff>
    </xdr:to>
    <xdr:graphicFrame macro="">
      <xdr:nvGraphicFramePr>
        <xdr:cNvPr id="3074" name="Chart 2">
          <a:extLst>
            <a:ext uri="{FF2B5EF4-FFF2-40B4-BE49-F238E27FC236}">
              <a16:creationId xmlns:a16="http://schemas.microsoft.com/office/drawing/2014/main" xmlns="" id="{00000000-0008-0000-0400-0000020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57150</xdr:colOff>
      <xdr:row>26</xdr:row>
      <xdr:rowOff>266700</xdr:rowOff>
    </xdr:from>
    <xdr:to>
      <xdr:col>25</xdr:col>
      <xdr:colOff>57150</xdr:colOff>
      <xdr:row>44</xdr:row>
      <xdr:rowOff>123825</xdr:rowOff>
    </xdr:to>
    <xdr:graphicFrame macro="">
      <xdr:nvGraphicFramePr>
        <xdr:cNvPr id="3075" name="Chart 3">
          <a:extLst>
            <a:ext uri="{FF2B5EF4-FFF2-40B4-BE49-F238E27FC236}">
              <a16:creationId xmlns:a16="http://schemas.microsoft.com/office/drawing/2014/main" xmlns="" id="{00000000-0008-0000-0400-0000030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152400</xdr:colOff>
      <xdr:row>8</xdr:row>
      <xdr:rowOff>38100</xdr:rowOff>
    </xdr:from>
    <xdr:to>
      <xdr:col>15</xdr:col>
      <xdr:colOff>457200</xdr:colOff>
      <xdr:row>24</xdr:row>
      <xdr:rowOff>38100</xdr:rowOff>
    </xdr:to>
    <xdr:graphicFrame macro="">
      <xdr:nvGraphicFramePr>
        <xdr:cNvPr id="2" name="Chart 1">
          <a:extLst>
            <a:ext uri="{FF2B5EF4-FFF2-40B4-BE49-F238E27FC236}">
              <a16:creationId xmlns:a16="http://schemas.microsoft.com/office/drawing/2014/main" xmlns=""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161925</xdr:colOff>
      <xdr:row>25</xdr:row>
      <xdr:rowOff>0</xdr:rowOff>
    </xdr:from>
    <xdr:to>
      <xdr:col>15</xdr:col>
      <xdr:colOff>466725</xdr:colOff>
      <xdr:row>41</xdr:row>
      <xdr:rowOff>0</xdr:rowOff>
    </xdr:to>
    <xdr:graphicFrame macro="">
      <xdr:nvGraphicFramePr>
        <xdr:cNvPr id="3" name="Chart 2">
          <a:extLst>
            <a:ext uri="{FF2B5EF4-FFF2-40B4-BE49-F238E27FC236}">
              <a16:creationId xmlns:a16="http://schemas.microsoft.com/office/drawing/2014/main" xmlns=""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2.vml"/><Relationship Id="rId1" Type="http://schemas.openxmlformats.org/officeDocument/2006/relationships/drawing" Target="../drawings/drawing1.xml"/><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vmlDrawing" Target="../drawings/vmlDrawing3.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sheet____1"/>
  <dimension ref="A1:O67"/>
  <sheetViews>
    <sheetView workbookViewId="0"/>
  </sheetViews>
  <sheetFormatPr defaultColWidth="8.796875" defaultRowHeight="12.75"/>
  <cols>
    <col min="1" max="1" width="4.46484375" customWidth="1"/>
    <col min="2" max="2" width="10" customWidth="1"/>
    <col min="3" max="3" width="9.33203125" customWidth="1"/>
    <col min="4" max="4" width="7.1328125" customWidth="1"/>
    <col min="5" max="5" width="9.796875" customWidth="1"/>
    <col min="6" max="6" width="8" bestFit="1" customWidth="1"/>
    <col min="7" max="7" width="11.46484375" bestFit="1" customWidth="1"/>
    <col min="8" max="8" width="29.6640625" customWidth="1"/>
    <col min="9" max="9" width="14.796875" customWidth="1"/>
    <col min="10" max="10" width="14.33203125" customWidth="1"/>
    <col min="11" max="11" width="9.46484375" customWidth="1"/>
  </cols>
  <sheetData>
    <row r="1" spans="1:15" ht="13.15">
      <c r="A1" s="127" t="s">
        <v>72</v>
      </c>
    </row>
    <row r="2" spans="1:15" ht="13.15" thickBot="1">
      <c r="A2" t="s">
        <v>73</v>
      </c>
    </row>
    <row r="3" spans="1:15" ht="48" customHeight="1">
      <c r="A3" s="128" t="s">
        <v>0</v>
      </c>
      <c r="B3" s="129" t="s">
        <v>54</v>
      </c>
      <c r="C3" s="129" t="s">
        <v>55</v>
      </c>
      <c r="D3" s="129" t="s">
        <v>56</v>
      </c>
      <c r="E3" s="129" t="s">
        <v>57</v>
      </c>
      <c r="F3" s="129" t="s">
        <v>58</v>
      </c>
      <c r="G3" s="129" t="s">
        <v>71</v>
      </c>
      <c r="H3" s="129" t="s">
        <v>74</v>
      </c>
      <c r="I3" s="129" t="s">
        <v>59</v>
      </c>
      <c r="J3" s="129" t="s">
        <v>60</v>
      </c>
      <c r="K3" s="130" t="s">
        <v>12</v>
      </c>
    </row>
    <row r="4" spans="1:15">
      <c r="A4" s="116">
        <v>0</v>
      </c>
      <c r="B4" s="117">
        <v>1E+20</v>
      </c>
      <c r="C4" s="116">
        <v>0</v>
      </c>
      <c r="D4" s="116">
        <v>400</v>
      </c>
      <c r="E4" s="116">
        <v>1.1100000000000001</v>
      </c>
      <c r="F4" s="118">
        <v>1.0000000000000001E-5</v>
      </c>
      <c r="G4" s="117">
        <v>400000</v>
      </c>
      <c r="H4" s="119" t="s">
        <v>75</v>
      </c>
      <c r="I4" s="120">
        <f>2*E4*D4/(2*E4-1)</f>
        <v>727.86885245901635</v>
      </c>
      <c r="J4" s="121">
        <f t="shared" ref="J4:J67" si="0">(K4*D4/G4)^(1/(2*E4))</f>
        <v>45462954.695323914</v>
      </c>
      <c r="K4" s="122">
        <f>B4/((1+C4)^(2*E4))</f>
        <v>1E+20</v>
      </c>
    </row>
    <row r="5" spans="1:15">
      <c r="A5" s="131">
        <v>1</v>
      </c>
      <c r="B5" s="132">
        <v>1.3200635000000001E+52</v>
      </c>
      <c r="C5" s="131">
        <v>1.6240000000000001</v>
      </c>
      <c r="D5" s="131">
        <v>1620</v>
      </c>
      <c r="E5" s="131">
        <v>2.6207999999996998</v>
      </c>
      <c r="F5" s="131">
        <v>1.0000000000000001E-5</v>
      </c>
      <c r="G5" s="132">
        <v>2640000000</v>
      </c>
      <c r="H5" s="131" t="s">
        <v>76</v>
      </c>
      <c r="I5" s="133">
        <f t="shared" ref="I5:I67" si="1">2*E5*D5/(2*E5-1)</f>
        <v>2001.9313466616909</v>
      </c>
      <c r="J5" s="134">
        <f t="shared" si="0"/>
        <v>218538053.75470608</v>
      </c>
      <c r="K5" s="135">
        <f t="shared" ref="K5:K67" si="2">B5/((1+C5)^(2*E5))</f>
        <v>8.4053152720951695E+49</v>
      </c>
    </row>
    <row r="6" spans="1:15">
      <c r="A6" s="1">
        <v>2</v>
      </c>
      <c r="B6" s="2">
        <v>1.330064E+52</v>
      </c>
      <c r="C6" s="1">
        <v>1.6359999999999999</v>
      </c>
      <c r="D6" s="1">
        <v>1630</v>
      </c>
      <c r="E6" s="1">
        <v>2.6318999999996899</v>
      </c>
      <c r="F6" s="1">
        <v>1.0000000000000001E-5</v>
      </c>
      <c r="G6" s="2">
        <v>2660000000</v>
      </c>
      <c r="H6" s="1" t="s">
        <v>77</v>
      </c>
      <c r="I6" s="124">
        <f t="shared" si="1"/>
        <v>2012.2880998171202</v>
      </c>
      <c r="J6" s="125">
        <f t="shared" si="0"/>
        <v>200038882.17951778</v>
      </c>
      <c r="K6" s="123">
        <f t="shared" si="2"/>
        <v>8.0928242897250526E+49</v>
      </c>
    </row>
    <row r="7" spans="1:15">
      <c r="A7" s="1">
        <v>3</v>
      </c>
      <c r="B7" s="2">
        <v>1.3400645000000001E+52</v>
      </c>
      <c r="C7" s="1">
        <v>1.6479999999999999</v>
      </c>
      <c r="D7" s="1">
        <v>1640</v>
      </c>
      <c r="E7" s="1">
        <v>2.64299999999968</v>
      </c>
      <c r="F7" s="1">
        <v>1.0000000000000001E-5</v>
      </c>
      <c r="G7" s="2">
        <v>2680000000</v>
      </c>
      <c r="H7" s="1" t="s">
        <v>78</v>
      </c>
      <c r="I7" s="124">
        <f t="shared" si="1"/>
        <v>2022.6411572562401</v>
      </c>
      <c r="J7" s="125">
        <f t="shared" si="0"/>
        <v>183237213.80570087</v>
      </c>
      <c r="K7" s="123">
        <f t="shared" si="2"/>
        <v>7.7907856562055439E+49</v>
      </c>
    </row>
    <row r="8" spans="1:15">
      <c r="A8" s="1">
        <v>4</v>
      </c>
      <c r="B8" s="2">
        <v>1.350065E+52</v>
      </c>
      <c r="C8" s="1">
        <v>1.66</v>
      </c>
      <c r="D8" s="1">
        <v>1650</v>
      </c>
      <c r="E8" s="1">
        <v>2.6540999999996702</v>
      </c>
      <c r="F8" s="1">
        <v>1.0000000000000001E-5</v>
      </c>
      <c r="G8" s="2">
        <v>2700000000</v>
      </c>
      <c r="H8" s="1" t="s">
        <v>79</v>
      </c>
      <c r="I8" s="124">
        <f t="shared" si="1"/>
        <v>2032.9905761107311</v>
      </c>
      <c r="J8" s="125">
        <f t="shared" si="0"/>
        <v>167965856.18716684</v>
      </c>
      <c r="K8" s="123">
        <f t="shared" si="2"/>
        <v>7.4989071261342963E+49</v>
      </c>
    </row>
    <row r="9" spans="1:15">
      <c r="A9" s="1">
        <v>5</v>
      </c>
      <c r="B9" s="2">
        <v>1.3600655000000001E+52</v>
      </c>
      <c r="C9" s="1">
        <v>1.6719999999999999</v>
      </c>
      <c r="D9" s="1">
        <v>1660</v>
      </c>
      <c r="E9" s="1">
        <v>2.6651999999996598</v>
      </c>
      <c r="F9" s="1">
        <v>1.0000000000000001E-5</v>
      </c>
      <c r="G9" s="2">
        <v>2720000000</v>
      </c>
      <c r="H9" s="1" t="s">
        <v>80</v>
      </c>
      <c r="I9" s="124">
        <f t="shared" si="1"/>
        <v>2043.3364123407216</v>
      </c>
      <c r="J9" s="125">
        <f t="shared" si="0"/>
        <v>154075158.52451628</v>
      </c>
      <c r="K9" s="123">
        <f t="shared" si="2"/>
        <v>7.2169017166676157E+49</v>
      </c>
    </row>
    <row r="10" spans="1:15">
      <c r="A10" s="1">
        <v>6</v>
      </c>
      <c r="B10" s="2">
        <v>1.370066E+52</v>
      </c>
      <c r="C10" s="1">
        <v>1.6839999999999999</v>
      </c>
      <c r="D10" s="1">
        <v>1670</v>
      </c>
      <c r="E10" s="1">
        <v>2.67629999999965</v>
      </c>
      <c r="F10" s="1">
        <v>1.0000000000000001E-5</v>
      </c>
      <c r="G10" s="2">
        <v>2740000000</v>
      </c>
      <c r="H10" s="1" t="s">
        <v>81</v>
      </c>
      <c r="I10" s="124">
        <f t="shared" si="1"/>
        <v>2053.6787207646621</v>
      </c>
      <c r="J10" s="125">
        <f t="shared" si="0"/>
        <v>141431062.99647093</v>
      </c>
      <c r="K10" s="123">
        <f t="shared" si="2"/>
        <v>6.9444877767578047E+49</v>
      </c>
    </row>
    <row r="11" spans="1:15">
      <c r="A11" s="1">
        <v>7</v>
      </c>
      <c r="B11" s="2">
        <v>1.3800665000000001E+52</v>
      </c>
      <c r="C11" s="1">
        <v>1.696</v>
      </c>
      <c r="D11" s="1">
        <v>1680</v>
      </c>
      <c r="E11" s="1">
        <v>2.6873999999996401</v>
      </c>
      <c r="F11" s="1">
        <v>1.0000000000000001E-5</v>
      </c>
      <c r="G11" s="2">
        <v>2760000000</v>
      </c>
      <c r="H11" s="1" t="s">
        <v>82</v>
      </c>
      <c r="I11" s="124">
        <f t="shared" si="1"/>
        <v>2064.0175550882959</v>
      </c>
      <c r="J11" s="125">
        <f t="shared" si="0"/>
        <v>129913384.15759315</v>
      </c>
      <c r="K11" s="123">
        <f t="shared" si="2"/>
        <v>6.681389043604658E+49</v>
      </c>
    </row>
    <row r="12" spans="1:15">
      <c r="A12" s="1">
        <v>8</v>
      </c>
      <c r="B12" s="2">
        <v>1.390067E+52</v>
      </c>
      <c r="C12" s="1">
        <v>1.708</v>
      </c>
      <c r="D12" s="1">
        <v>1690</v>
      </c>
      <c r="E12" s="1">
        <v>2.6984999999996302</v>
      </c>
      <c r="F12" s="1">
        <v>1.0000000000000001E-5</v>
      </c>
      <c r="G12" s="2">
        <v>2780000000</v>
      </c>
      <c r="H12" s="1" t="s">
        <v>83</v>
      </c>
      <c r="I12" s="124">
        <f t="shared" si="1"/>
        <v>2074.3529679327462</v>
      </c>
      <c r="J12" s="125">
        <f t="shared" si="0"/>
        <v>119414288.39739411</v>
      </c>
      <c r="K12" s="123">
        <f t="shared" si="2"/>
        <v>6.4273346870814807E+49</v>
      </c>
    </row>
    <row r="13" spans="1:15">
      <c r="A13" s="1">
        <v>9</v>
      </c>
      <c r="B13" s="2">
        <v>1.4000675000000001E+52</v>
      </c>
      <c r="C13" s="1">
        <v>1.72</v>
      </c>
      <c r="D13" s="1">
        <v>1700</v>
      </c>
      <c r="E13" s="1">
        <v>2.7095999999996199</v>
      </c>
      <c r="F13" s="1">
        <v>1.0000000000000001E-5</v>
      </c>
      <c r="G13" s="2">
        <v>2800000000</v>
      </c>
      <c r="H13" s="1" t="s">
        <v>84</v>
      </c>
      <c r="I13" s="124">
        <f t="shared" si="1"/>
        <v>2084.6850108617605</v>
      </c>
      <c r="J13" s="125">
        <f t="shared" si="0"/>
        <v>109836949.05110747</v>
      </c>
      <c r="K13" s="123">
        <f t="shared" si="2"/>
        <v>6.1820593428670233E+49</v>
      </c>
    </row>
    <row r="14" spans="1:15">
      <c r="A14" s="1">
        <v>10</v>
      </c>
      <c r="B14" s="2">
        <v>1.410068E+52</v>
      </c>
      <c r="C14" s="1">
        <v>1.732</v>
      </c>
      <c r="D14" s="1">
        <v>1710</v>
      </c>
      <c r="E14" s="1">
        <v>2.72069999999961</v>
      </c>
      <c r="F14" s="1">
        <v>1.0000000000000001E-5</v>
      </c>
      <c r="G14" s="2">
        <v>2820000000</v>
      </c>
      <c r="H14" s="1" t="s">
        <v>85</v>
      </c>
      <c r="I14" s="124">
        <f t="shared" si="1"/>
        <v>2095.0137344081372</v>
      </c>
      <c r="J14" s="125">
        <f t="shared" si="0"/>
        <v>101094355.8665393</v>
      </c>
      <c r="K14" s="123">
        <f t="shared" si="2"/>
        <v>5.9453031349840186E+49</v>
      </c>
      <c r="O14" t="s">
        <v>86</v>
      </c>
    </row>
    <row r="15" spans="1:15">
      <c r="A15" s="1">
        <v>11</v>
      </c>
      <c r="B15" s="2">
        <v>1.4200685000000001E+52</v>
      </c>
      <c r="C15" s="1">
        <v>1.744</v>
      </c>
      <c r="D15" s="1">
        <v>1720</v>
      </c>
      <c r="E15" s="1">
        <v>2.7317999999996001</v>
      </c>
      <c r="F15" s="1">
        <v>1.0000000000000001E-5</v>
      </c>
      <c r="G15" s="2">
        <v>2840000000</v>
      </c>
      <c r="H15" s="1" t="s">
        <v>87</v>
      </c>
      <c r="I15" s="124">
        <f t="shared" si="1"/>
        <v>2105.3391880993613</v>
      </c>
      <c r="J15" s="125">
        <f t="shared" si="0"/>
        <v>93108260.231389597</v>
      </c>
      <c r="K15" s="123">
        <f t="shared" si="2"/>
        <v>5.716811688416956E+49</v>
      </c>
    </row>
    <row r="16" spans="1:15">
      <c r="A16" s="1">
        <v>12</v>
      </c>
      <c r="B16" s="2">
        <v>1.4300689999999999E+52</v>
      </c>
      <c r="C16" s="1">
        <v>1.756</v>
      </c>
      <c r="D16" s="1">
        <v>1730</v>
      </c>
      <c r="E16" s="1">
        <v>2.7428999999995902</v>
      </c>
      <c r="F16" s="1">
        <v>1.0000000000000001E-5</v>
      </c>
      <c r="G16" s="2">
        <v>2860000000</v>
      </c>
      <c r="H16" s="1" t="s">
        <v>88</v>
      </c>
      <c r="I16" s="124">
        <f t="shared" si="1"/>
        <v>2115.6614204824818</v>
      </c>
      <c r="J16" s="125">
        <f t="shared" si="0"/>
        <v>85808239.90851143</v>
      </c>
      <c r="K16" s="123">
        <f t="shared" si="2"/>
        <v>5.4963361324529225E+49</v>
      </c>
    </row>
    <row r="17" spans="1:11">
      <c r="A17" s="1">
        <v>13</v>
      </c>
      <c r="B17" s="2">
        <v>1.4400695000000001E+52</v>
      </c>
      <c r="C17" s="1">
        <v>1.768</v>
      </c>
      <c r="D17" s="1">
        <v>1740</v>
      </c>
      <c r="E17" s="1">
        <v>2.7539999999995799</v>
      </c>
      <c r="F17" s="1">
        <v>1.0000000000000001E-5</v>
      </c>
      <c r="G17" s="2">
        <v>2880000000</v>
      </c>
      <c r="H17" s="126"/>
      <c r="I17" s="124">
        <f t="shared" si="1"/>
        <v>2125.9804791482529</v>
      </c>
      <c r="J17" s="125">
        <f t="shared" si="0"/>
        <v>79130869.06186147</v>
      </c>
      <c r="K17" s="123">
        <f t="shared" si="2"/>
        <v>5.2836330953624458E+49</v>
      </c>
    </row>
    <row r="18" spans="1:11">
      <c r="A18" s="1">
        <v>14</v>
      </c>
      <c r="B18" s="2">
        <v>1.4500699999999999E+52</v>
      </c>
      <c r="C18" s="1">
        <v>1.78</v>
      </c>
      <c r="D18" s="1">
        <v>1750</v>
      </c>
      <c r="E18" s="1">
        <v>2.76509999999957</v>
      </c>
      <c r="F18" s="1">
        <v>1.0000000000000001E-5</v>
      </c>
      <c r="G18" s="2">
        <v>2900000000</v>
      </c>
      <c r="H18" s="126"/>
      <c r="I18" s="124">
        <f t="shared" si="1"/>
        <v>2136.2964107545654</v>
      </c>
      <c r="J18" s="125">
        <f t="shared" si="0"/>
        <v>73018981.125346139</v>
      </c>
      <c r="K18" s="123">
        <f t="shared" si="2"/>
        <v>5.0784646910099324E+49</v>
      </c>
    </row>
    <row r="19" spans="1:11">
      <c r="A19" s="1">
        <v>15</v>
      </c>
      <c r="B19" s="2">
        <v>1.4600705000000001E+52</v>
      </c>
      <c r="C19" s="1">
        <v>1.792</v>
      </c>
      <c r="D19" s="1">
        <v>1760</v>
      </c>
      <c r="E19" s="1">
        <v>2.7761999999995601</v>
      </c>
      <c r="F19" s="1">
        <v>1.0000000000000001E-5</v>
      </c>
      <c r="G19" s="2">
        <v>2920000000</v>
      </c>
      <c r="H19" s="126"/>
      <c r="I19" s="124">
        <f t="shared" si="1"/>
        <v>2146.6092610491919</v>
      </c>
      <c r="J19" s="125">
        <f t="shared" si="0"/>
        <v>67421013.606579453</v>
      </c>
      <c r="K19" s="123">
        <f t="shared" si="2"/>
        <v>4.8805984979582545E+49</v>
      </c>
    </row>
    <row r="20" spans="1:11">
      <c r="A20" s="1">
        <v>16</v>
      </c>
      <c r="B20" s="2">
        <v>1.4700709999999999E+52</v>
      </c>
      <c r="C20" s="1">
        <v>1.804</v>
      </c>
      <c r="D20" s="1">
        <v>1770</v>
      </c>
      <c r="E20" s="1">
        <v>2.7872999999995498</v>
      </c>
      <c r="F20" s="1">
        <v>1.0000000000000001E-5</v>
      </c>
      <c r="G20" s="2">
        <v>2940000000</v>
      </c>
      <c r="H20" s="126"/>
      <c r="I20" s="124">
        <f t="shared" si="1"/>
        <v>2156.91907489187</v>
      </c>
      <c r="J20" s="125">
        <f t="shared" si="0"/>
        <v>62290425.258676298</v>
      </c>
      <c r="K20" s="123">
        <f t="shared" si="2"/>
        <v>4.6898075316055839E+49</v>
      </c>
    </row>
    <row r="21" spans="1:11">
      <c r="A21" s="1">
        <v>17</v>
      </c>
      <c r="B21" s="2">
        <v>1.4800715000000001E+52</v>
      </c>
      <c r="C21" s="1">
        <v>1.8160000000000001</v>
      </c>
      <c r="D21" s="1">
        <v>1780</v>
      </c>
      <c r="E21" s="1">
        <v>2.7983999999995399</v>
      </c>
      <c r="F21" s="1">
        <v>1.0000000000000001E-5</v>
      </c>
      <c r="G21" s="2">
        <v>2960000000</v>
      </c>
      <c r="H21" s="126"/>
      <c r="I21" s="124">
        <f t="shared" si="1"/>
        <v>2167.2258962757478</v>
      </c>
      <c r="J21" s="125">
        <f t="shared" si="0"/>
        <v>57585177.222318016</v>
      </c>
      <c r="K21" s="123">
        <f t="shared" si="2"/>
        <v>4.5058702098693396E+49</v>
      </c>
    </row>
    <row r="22" spans="1:11">
      <c r="A22" s="1">
        <v>18</v>
      </c>
      <c r="B22" s="2">
        <v>1.4900719999999999E+52</v>
      </c>
      <c r="C22" s="1">
        <v>1.8280000000000001</v>
      </c>
      <c r="D22" s="1">
        <v>1790</v>
      </c>
      <c r="E22" s="1">
        <v>2.80949999999953</v>
      </c>
      <c r="F22" s="1">
        <v>1.0000000000000001E-5</v>
      </c>
      <c r="G22" s="2">
        <v>2980000000</v>
      </c>
      <c r="H22" s="126"/>
      <c r="I22" s="124">
        <f t="shared" si="1"/>
        <v>2177.5297683482063</v>
      </c>
      <c r="J22" s="125">
        <f t="shared" si="0"/>
        <v>53267270.760383531</v>
      </c>
      <c r="K22" s="123">
        <f t="shared" si="2"/>
        <v>4.3285703129072406E+49</v>
      </c>
    </row>
    <row r="23" spans="1:11">
      <c r="A23" s="1">
        <v>19</v>
      </c>
      <c r="B23" s="2">
        <v>1.5000725000000001E+52</v>
      </c>
      <c r="C23" s="1">
        <v>1.84</v>
      </c>
      <c r="D23" s="1">
        <v>1800</v>
      </c>
      <c r="E23" s="1">
        <v>2.8205999999995202</v>
      </c>
      <c r="F23" s="1">
        <v>1.0000000000000001E-5</v>
      </c>
      <c r="G23" s="2">
        <v>3000000000</v>
      </c>
      <c r="H23" s="126"/>
      <c r="I23" s="124">
        <f t="shared" si="1"/>
        <v>2187.8307334310894</v>
      </c>
      <c r="J23" s="125">
        <f t="shared" si="0"/>
        <v>49302335.098193392</v>
      </c>
      <c r="K23" s="123">
        <f t="shared" si="2"/>
        <v>4.1576969373433267E+49</v>
      </c>
    </row>
    <row r="24" spans="1:11">
      <c r="A24" s="1">
        <v>20</v>
      </c>
      <c r="B24" s="2">
        <v>1.5100729999999999E+52</v>
      </c>
      <c r="C24" s="1">
        <v>1.8520000000000001</v>
      </c>
      <c r="D24" s="1">
        <v>1810</v>
      </c>
      <c r="E24" s="1">
        <v>2.8316999999995098</v>
      </c>
      <c r="F24" s="1">
        <v>1.0000000000000001E-5</v>
      </c>
      <c r="G24" s="2">
        <v>3020000000</v>
      </c>
      <c r="H24" s="126"/>
      <c r="I24" s="124">
        <f t="shared" si="1"/>
        <v>2198.1288330403527</v>
      </c>
      <c r="J24" s="125">
        <f t="shared" si="0"/>
        <v>45659259.660966493</v>
      </c>
      <c r="K24" s="123">
        <f t="shared" si="2"/>
        <v>3.9930444454436875E+49</v>
      </c>
    </row>
    <row r="25" spans="1:11">
      <c r="A25" s="1">
        <v>21</v>
      </c>
      <c r="B25" s="2">
        <v>1.5200735E+52</v>
      </c>
      <c r="C25" s="1">
        <v>1.8640000000000001</v>
      </c>
      <c r="D25" s="1">
        <v>1820</v>
      </c>
      <c r="E25" s="1">
        <v>2.8427999999994999</v>
      </c>
      <c r="F25" s="1">
        <v>1.0000000000000001E-5</v>
      </c>
      <c r="G25" s="2">
        <v>3040000000</v>
      </c>
      <c r="H25" s="126"/>
      <c r="I25" s="124">
        <f t="shared" si="1"/>
        <v>2208.424107905154</v>
      </c>
      <c r="J25" s="125">
        <f t="shared" si="0"/>
        <v>42309865.681083828</v>
      </c>
      <c r="K25" s="123">
        <f t="shared" si="2"/>
        <v>3.8344124096657693E+49</v>
      </c>
    </row>
    <row r="26" spans="1:11">
      <c r="A26" s="1">
        <v>22</v>
      </c>
      <c r="B26" s="2">
        <v>1.5300739999999999E+52</v>
      </c>
      <c r="C26" s="1">
        <v>1.8759999999999999</v>
      </c>
      <c r="D26" s="1">
        <v>1830</v>
      </c>
      <c r="E26" s="1">
        <v>2.8538999999994901</v>
      </c>
      <c r="F26" s="1">
        <v>1.0000000000000001E-5</v>
      </c>
      <c r="G26" s="2">
        <v>3060000000</v>
      </c>
      <c r="H26" s="126"/>
      <c r="I26" s="124">
        <f t="shared" si="1"/>
        <v>2218.7165979864048</v>
      </c>
      <c r="J26" s="125">
        <f t="shared" si="0"/>
        <v>39228612.743981734</v>
      </c>
      <c r="K26" s="123">
        <f t="shared" si="2"/>
        <v>3.6816055529835847E+49</v>
      </c>
    </row>
    <row r="27" spans="1:11">
      <c r="A27" s="1">
        <v>23</v>
      </c>
      <c r="B27" s="2">
        <v>1.5400745E+52</v>
      </c>
      <c r="C27" s="1">
        <v>1.8879999999999999</v>
      </c>
      <c r="D27" s="1">
        <v>1840</v>
      </c>
      <c r="E27" s="1">
        <v>2.8649999999994802</v>
      </c>
      <c r="F27" s="1">
        <v>1.0000000000000001E-5</v>
      </c>
      <c r="G27" s="2">
        <v>3080000000</v>
      </c>
      <c r="H27" s="126"/>
      <c r="I27" s="124">
        <f t="shared" si="1"/>
        <v>2229.0063424948003</v>
      </c>
      <c r="J27" s="125">
        <f t="shared" si="0"/>
        <v>36392336.363887496</v>
      </c>
      <c r="K27" s="123">
        <f t="shared" si="2"/>
        <v>3.5344336853715457E+49</v>
      </c>
    </row>
    <row r="28" spans="1:11">
      <c r="A28" s="1">
        <v>24</v>
      </c>
      <c r="B28" s="2">
        <v>1.5500749999999999E+52</v>
      </c>
      <c r="C28" s="1">
        <v>1.9</v>
      </c>
      <c r="D28" s="1">
        <v>1850</v>
      </c>
      <c r="E28" s="1">
        <v>2.8760999999994699</v>
      </c>
      <c r="F28" s="1">
        <v>1.0000000000000001E-5</v>
      </c>
      <c r="G28" s="2">
        <v>3100000000</v>
      </c>
      <c r="H28" s="126"/>
      <c r="I28" s="124">
        <f t="shared" si="1"/>
        <v>2239.2933799083398</v>
      </c>
      <c r="J28" s="125">
        <f t="shared" si="0"/>
        <v>33780013.138709366</v>
      </c>
      <c r="K28" s="123">
        <f t="shared" si="2"/>
        <v>3.3927116368095502E+49</v>
      </c>
    </row>
    <row r="29" spans="1:11">
      <c r="A29" s="1">
        <v>25</v>
      </c>
      <c r="B29" s="2">
        <v>1.5600755E+52</v>
      </c>
      <c r="C29" s="1">
        <v>1.9119999999999999</v>
      </c>
      <c r="D29" s="1">
        <v>1860</v>
      </c>
      <c r="E29" s="1">
        <v>2.88719999999946</v>
      </c>
      <c r="F29" s="1">
        <v>1.0000000000000001E-5</v>
      </c>
      <c r="G29" s="2">
        <v>3120000000</v>
      </c>
      <c r="H29" s="126"/>
      <c r="I29" s="124">
        <f t="shared" si="1"/>
        <v>2249.5777479893645</v>
      </c>
      <c r="J29" s="125">
        <f t="shared" si="0"/>
        <v>31372550.435436945</v>
      </c>
      <c r="K29" s="123">
        <f t="shared" si="2"/>
        <v>3.2562591871536916E+49</v>
      </c>
    </row>
    <row r="30" spans="1:11">
      <c r="A30" s="1">
        <v>26</v>
      </c>
      <c r="B30" s="2">
        <v>1.5700759999999999E+52</v>
      </c>
      <c r="C30" s="1">
        <v>1.9239999999999999</v>
      </c>
      <c r="D30" s="1">
        <v>1870</v>
      </c>
      <c r="E30" s="1">
        <v>2.8982999999994501</v>
      </c>
      <c r="F30" s="1">
        <v>1.0000000000000001E-5</v>
      </c>
      <c r="G30" s="2">
        <v>3140000000</v>
      </c>
      <c r="H30" s="126"/>
      <c r="I30" s="124">
        <f t="shared" si="1"/>
        <v>2259.8594838011149</v>
      </c>
      <c r="J30" s="125">
        <f t="shared" si="0"/>
        <v>29152597.910530083</v>
      </c>
      <c r="K30" s="123">
        <f t="shared" si="2"/>
        <v>3.1249009931984106E+49</v>
      </c>
    </row>
    <row r="31" spans="1:11">
      <c r="A31" s="1">
        <v>27</v>
      </c>
      <c r="B31" s="2">
        <v>1.5800765E+52</v>
      </c>
      <c r="C31" s="1">
        <v>1.9359999999999999</v>
      </c>
      <c r="D31" s="1">
        <v>1880</v>
      </c>
      <c r="E31" s="1">
        <v>2.9093999999994402</v>
      </c>
      <c r="F31" s="1">
        <v>1.0000000000000001E-5</v>
      </c>
      <c r="G31" s="2">
        <v>3160000000</v>
      </c>
      <c r="H31" s="126"/>
      <c r="I31" s="124">
        <f t="shared" si="1"/>
        <v>2270.1386237238394</v>
      </c>
      <c r="J31" s="125">
        <f t="shared" si="0"/>
        <v>27104378.48017646</v>
      </c>
      <c r="K31" s="123">
        <f t="shared" si="2"/>
        <v>2.9984665132385585E+49</v>
      </c>
    </row>
    <row r="32" spans="1:11">
      <c r="A32" s="1">
        <v>28</v>
      </c>
      <c r="B32" s="2">
        <v>1.5900769999999999E+52</v>
      </c>
      <c r="C32" s="1">
        <v>1.94799999999999</v>
      </c>
      <c r="D32" s="1">
        <v>1890</v>
      </c>
      <c r="E32" s="1">
        <v>2.9204999999994299</v>
      </c>
      <c r="F32" s="1">
        <v>1.0000000000000001E-5</v>
      </c>
      <c r="G32" s="2">
        <v>3180000000</v>
      </c>
      <c r="H32" s="126"/>
      <c r="I32" s="124">
        <f t="shared" si="1"/>
        <v>2280.4152034704493</v>
      </c>
      <c r="J32" s="125">
        <f t="shared" si="0"/>
        <v>25213536.628367968</v>
      </c>
      <c r="K32" s="123">
        <f t="shared" si="2"/>
        <v>2.8767899294230994E+49</v>
      </c>
    </row>
    <row r="33" spans="1:11">
      <c r="A33" s="1">
        <v>29</v>
      </c>
      <c r="B33" s="2">
        <v>1.6000775E+52</v>
      </c>
      <c r="C33" s="1">
        <v>1.95999999999999</v>
      </c>
      <c r="D33" s="1">
        <v>1900</v>
      </c>
      <c r="E33" s="1">
        <v>2.93159999999942</v>
      </c>
      <c r="F33" s="1">
        <v>1.0000000000000001E-5</v>
      </c>
      <c r="G33" s="2">
        <v>3200000000</v>
      </c>
      <c r="H33" s="126"/>
      <c r="I33" s="124">
        <f t="shared" si="1"/>
        <v>2290.6892581017546</v>
      </c>
      <c r="J33" s="125">
        <f t="shared" si="0"/>
        <v>23467002.181156624</v>
      </c>
      <c r="K33" s="123">
        <f t="shared" si="2"/>
        <v>2.7597100681754561E+49</v>
      </c>
    </row>
    <row r="34" spans="1:11">
      <c r="A34" s="1">
        <v>30</v>
      </c>
      <c r="B34" s="2">
        <v>1.6100779999999999E+52</v>
      </c>
      <c r="C34" s="1">
        <v>1.97199999999999</v>
      </c>
      <c r="D34" s="1">
        <v>1910</v>
      </c>
      <c r="E34" s="1">
        <v>2.9426999999994101</v>
      </c>
      <c r="F34" s="1">
        <v>1.0000000000000001E-5</v>
      </c>
      <c r="G34" s="2">
        <v>3220000000</v>
      </c>
      <c r="H34" s="126"/>
      <c r="I34" s="124">
        <f t="shared" si="1"/>
        <v>2300.9608220412783</v>
      </c>
      <c r="J34" s="125">
        <f t="shared" si="0"/>
        <v>21852867.88726715</v>
      </c>
      <c r="K34" s="123">
        <f t="shared" si="2"/>
        <v>2.647070318941268E+49</v>
      </c>
    </row>
    <row r="35" spans="1:11">
      <c r="A35" s="1">
        <v>31</v>
      </c>
      <c r="B35" s="2">
        <v>1.6200785E+52</v>
      </c>
      <c r="C35" s="1">
        <v>1.98399999999999</v>
      </c>
      <c r="D35" s="1">
        <v>1920</v>
      </c>
      <c r="E35" s="1">
        <v>2.9537999999993998</v>
      </c>
      <c r="F35" s="1">
        <v>1.0000000000000001E-5</v>
      </c>
      <c r="G35" s="2">
        <v>3240000000</v>
      </c>
      <c r="H35" s="126"/>
      <c r="I35" s="124">
        <f t="shared" si="1"/>
        <v>2311.2299290896713</v>
      </c>
      <c r="J35" s="125">
        <f t="shared" si="0"/>
        <v>20360279.332012668</v>
      </c>
      <c r="K35" s="123">
        <f t="shared" si="2"/>
        <v>2.5387185515071114E+49</v>
      </c>
    </row>
    <row r="36" spans="1:11">
      <c r="A36" s="1">
        <v>32</v>
      </c>
      <c r="B36" s="2">
        <v>1.6300790000000001E+52</v>
      </c>
      <c r="C36" s="1">
        <v>1.99599999999999</v>
      </c>
      <c r="D36" s="1">
        <v>1930</v>
      </c>
      <c r="E36" s="1">
        <v>2.9648999999993899</v>
      </c>
      <c r="F36" s="1">
        <v>1.0000000000000001E-5</v>
      </c>
      <c r="G36" s="2">
        <v>3260000000</v>
      </c>
      <c r="H36" s="126"/>
      <c r="I36" s="124">
        <f t="shared" si="1"/>
        <v>2321.4966124387356</v>
      </c>
      <c r="J36" s="125">
        <f t="shared" si="0"/>
        <v>18979335.876271565</v>
      </c>
      <c r="K36" s="123">
        <f t="shared" si="2"/>
        <v>2.4345070321216085E+49</v>
      </c>
    </row>
    <row r="37" spans="1:11">
      <c r="A37" s="1">
        <v>33</v>
      </c>
      <c r="B37" s="2">
        <v>1.6400795E+52</v>
      </c>
      <c r="C37" s="1">
        <v>2.0079999999999898</v>
      </c>
      <c r="D37" s="1">
        <v>1940</v>
      </c>
      <c r="E37" s="1">
        <v>2.97599999999938</v>
      </c>
      <c r="F37" s="1">
        <v>1.0000000000000001E-5</v>
      </c>
      <c r="G37" s="2">
        <v>3280000000</v>
      </c>
      <c r="H37" s="126"/>
      <c r="I37" s="124">
        <f t="shared" si="1"/>
        <v>2331.7609046850739</v>
      </c>
      <c r="J37" s="125">
        <f t="shared" si="0"/>
        <v>17701001.457819954</v>
      </c>
      <c r="K37" s="123">
        <f t="shared" si="2"/>
        <v>2.3342923386351816E+49</v>
      </c>
    </row>
    <row r="38" spans="1:11">
      <c r="A38" s="1">
        <v>34</v>
      </c>
      <c r="B38" s="2">
        <v>1.6500800000000001E+52</v>
      </c>
      <c r="C38" s="1">
        <v>2.0199999999999898</v>
      </c>
      <c r="D38" s="1">
        <v>1950</v>
      </c>
      <c r="E38" s="1">
        <v>2.9870999999993701</v>
      </c>
      <c r="F38" s="1">
        <v>1.0000000000000001E-5</v>
      </c>
      <c r="G38" s="2">
        <v>3300000000</v>
      </c>
      <c r="H38" s="126"/>
      <c r="I38" s="124">
        <f t="shared" si="1"/>
        <v>2342.0228378433703</v>
      </c>
      <c r="J38" s="125">
        <f t="shared" si="0"/>
        <v>16517024.220925113</v>
      </c>
      <c r="K38" s="123">
        <f t="shared" si="2"/>
        <v>2.2379352748619018E+49</v>
      </c>
    </row>
    <row r="39" spans="1:11">
      <c r="A39" s="1">
        <v>35</v>
      </c>
      <c r="B39" s="2">
        <v>1.6600805E+52</v>
      </c>
      <c r="C39" s="1">
        <v>2.0319999999999898</v>
      </c>
      <c r="D39" s="1">
        <v>1960</v>
      </c>
      <c r="E39" s="1">
        <v>2.9981999999993598</v>
      </c>
      <c r="F39" s="1">
        <v>1.0000000000000001E-5</v>
      </c>
      <c r="G39" s="2">
        <v>3320000000</v>
      </c>
      <c r="H39" s="126"/>
      <c r="I39" s="124">
        <f t="shared" si="1"/>
        <v>2352.2824433593191</v>
      </c>
      <c r="J39" s="125">
        <f t="shared" si="0"/>
        <v>15419864.053852709</v>
      </c>
      <c r="K39" s="123">
        <f t="shared" si="2"/>
        <v>2.1453007843541565E+49</v>
      </c>
    </row>
    <row r="40" spans="1:11">
      <c r="A40" s="1">
        <v>36</v>
      </c>
      <c r="B40" s="2">
        <v>1.6700810000000001E+52</v>
      </c>
      <c r="C40" s="1">
        <v>2.0439999999999898</v>
      </c>
      <c r="D40" s="1">
        <v>1970</v>
      </c>
      <c r="E40" s="1">
        <v>3.0092999999993499</v>
      </c>
      <c r="F40" s="1">
        <v>1.0000000000000001E-5</v>
      </c>
      <c r="G40" s="2">
        <v>3340000000</v>
      </c>
      <c r="H40" s="126"/>
      <c r="I40" s="124">
        <f t="shared" si="1"/>
        <v>2362.5397521222076</v>
      </c>
      <c r="J40" s="125">
        <f t="shared" si="0"/>
        <v>14402627.214597743</v>
      </c>
      <c r="K40" s="123">
        <f t="shared" si="2"/>
        <v>2.0562578637686721E+49</v>
      </c>
    </row>
    <row r="41" spans="1:11">
      <c r="A41" s="1">
        <v>37</v>
      </c>
      <c r="B41" s="2">
        <v>1.6800815E+52</v>
      </c>
      <c r="C41" s="1">
        <v>2.0559999999999898</v>
      </c>
      <c r="D41" s="1">
        <v>1980</v>
      </c>
      <c r="E41" s="1">
        <v>3.0203999999993401</v>
      </c>
      <c r="F41" s="1">
        <v>1.0000000000000001E-5</v>
      </c>
      <c r="G41" s="2">
        <v>3360000000</v>
      </c>
      <c r="H41" s="126"/>
      <c r="I41" s="124">
        <f t="shared" si="1"/>
        <v>2372.7947944771699</v>
      </c>
      <c r="J41" s="125">
        <f t="shared" si="0"/>
        <v>13459007.314305143</v>
      </c>
      <c r="K41" s="123">
        <f t="shared" si="2"/>
        <v>1.9706794759908802E+49</v>
      </c>
    </row>
    <row r="42" spans="1:11">
      <c r="A42" s="1">
        <v>38</v>
      </c>
      <c r="B42" s="2">
        <v>1.6900820000000001E+52</v>
      </c>
      <c r="C42" s="1">
        <v>2.0679999999999898</v>
      </c>
      <c r="D42" s="1">
        <v>1990</v>
      </c>
      <c r="E42" s="1">
        <v>3.0314999999993302</v>
      </c>
      <c r="F42" s="1">
        <v>1.0000000000000001E-5</v>
      </c>
      <c r="G42" s="2">
        <v>3380000000</v>
      </c>
      <c r="H42" s="126"/>
      <c r="I42" s="124">
        <f t="shared" si="1"/>
        <v>2383.0476002371174</v>
      </c>
      <c r="J42" s="125">
        <f t="shared" si="0"/>
        <v>12583232.006852096</v>
      </c>
      <c r="K42" s="123">
        <f t="shared" si="2"/>
        <v>1.8884424631733985E+49</v>
      </c>
    </row>
    <row r="43" spans="1:11">
      <c r="A43" s="1">
        <v>39</v>
      </c>
      <c r="B43" s="2">
        <v>1.7000825E+52</v>
      </c>
      <c r="C43" s="1">
        <v>2.0799999999999899</v>
      </c>
      <c r="D43" s="1">
        <v>2000</v>
      </c>
      <c r="E43" s="1">
        <v>3.0425999999993198</v>
      </c>
      <c r="F43" s="1">
        <v>1.0000000000000001E-5</v>
      </c>
      <c r="G43" s="2">
        <v>3400000000</v>
      </c>
      <c r="H43" s="126"/>
      <c r="I43" s="124">
        <f t="shared" si="1"/>
        <v>2393.2981986943555</v>
      </c>
      <c r="J43" s="125">
        <f t="shared" si="0"/>
        <v>11770014.803142646</v>
      </c>
      <c r="K43" s="123">
        <f t="shared" si="2"/>
        <v>1.8094274598338317E+49</v>
      </c>
    </row>
    <row r="44" spans="1:11">
      <c r="A44" s="1">
        <v>40</v>
      </c>
      <c r="B44" s="2">
        <v>1.7100830000000001E+52</v>
      </c>
      <c r="C44" s="1">
        <v>2.0919999999999899</v>
      </c>
      <c r="D44" s="1">
        <v>2010</v>
      </c>
      <c r="E44" s="1">
        <v>3.05369999999931</v>
      </c>
      <c r="F44" s="1">
        <v>1.0000000000000001E-5</v>
      </c>
      <c r="G44" s="2">
        <v>3420000000</v>
      </c>
      <c r="H44" s="126"/>
      <c r="I44" s="124">
        <f t="shared" si="1"/>
        <v>2403.5466186318954</v>
      </c>
      <c r="J44" s="125">
        <f t="shared" si="0"/>
        <v>11014511.490853539</v>
      </c>
      <c r="K44" s="123">
        <f t="shared" si="2"/>
        <v>1.7335188061469371E+49</v>
      </c>
    </row>
    <row r="45" spans="1:11">
      <c r="A45" s="1">
        <v>41</v>
      </c>
      <c r="B45" s="2">
        <v>1.7200835E+52</v>
      </c>
      <c r="C45" s="1">
        <v>2.1039999999999899</v>
      </c>
      <c r="D45" s="1">
        <v>2020</v>
      </c>
      <c r="E45" s="1">
        <v>3.0647999999993001</v>
      </c>
      <c r="F45" s="1">
        <v>1.0000000000000001E-5</v>
      </c>
      <c r="G45" s="2">
        <v>3440000000</v>
      </c>
      <c r="H45" s="126"/>
      <c r="I45" s="124">
        <f t="shared" si="1"/>
        <v>2413.7928883344807</v>
      </c>
      <c r="J45" s="125">
        <f t="shared" si="0"/>
        <v>10312280.695606412</v>
      </c>
      <c r="K45" s="123">
        <f t="shared" si="2"/>
        <v>1.6606044615565596E+49</v>
      </c>
    </row>
    <row r="46" spans="1:11">
      <c r="A46" s="1">
        <v>42</v>
      </c>
      <c r="B46" s="2">
        <v>1.73008399999999E+52</v>
      </c>
      <c r="C46" s="1">
        <v>2.1159999999999899</v>
      </c>
      <c r="D46" s="1">
        <v>2030</v>
      </c>
      <c r="E46" s="1">
        <v>3.0758999999992902</v>
      </c>
      <c r="F46" s="1">
        <v>1.0000000000000001E-5</v>
      </c>
      <c r="G46" s="2">
        <v>3460000000</v>
      </c>
      <c r="H46" s="126"/>
      <c r="I46" s="124">
        <f t="shared" si="1"/>
        <v>2424.0370355993164</v>
      </c>
      <c r="J46" s="125">
        <f t="shared" si="0"/>
        <v>9659248.1686247047</v>
      </c>
      <c r="K46" s="123">
        <f t="shared" si="2"/>
        <v>1.5905759188234037E+49</v>
      </c>
    </row>
    <row r="47" spans="1:11">
      <c r="A47" s="1">
        <v>43</v>
      </c>
      <c r="B47" s="2">
        <v>1.7400844999999901E+52</v>
      </c>
      <c r="C47" s="1">
        <v>2.1279999999999899</v>
      </c>
      <c r="D47" s="1">
        <v>2040</v>
      </c>
      <c r="E47" s="1">
        <v>3.0869999999992799</v>
      </c>
      <c r="F47" s="1">
        <v>1.0000000000000001E-5</v>
      </c>
      <c r="G47" s="2">
        <v>3480000000</v>
      </c>
      <c r="H47" s="126"/>
      <c r="I47" s="124">
        <f t="shared" si="1"/>
        <v>2434.2790877465341</v>
      </c>
      <c r="J47" s="125">
        <f t="shared" si="0"/>
        <v>9051674.4295912292</v>
      </c>
      <c r="K47" s="123">
        <f t="shared" si="2"/>
        <v>1.5233281186161376E+49</v>
      </c>
    </row>
    <row r="48" spans="1:11">
      <c r="A48" s="1">
        <v>44</v>
      </c>
      <c r="B48" s="2">
        <v>1.75008499999999E+52</v>
      </c>
      <c r="C48" s="1">
        <v>2.1399999999999899</v>
      </c>
      <c r="D48" s="1">
        <v>2050</v>
      </c>
      <c r="E48" s="1">
        <v>3.09809999999927</v>
      </c>
      <c r="F48" s="1">
        <v>1.0000000000000001E-5</v>
      </c>
      <c r="G48" s="2">
        <v>3500000000</v>
      </c>
      <c r="H48" s="126"/>
      <c r="I48" s="124">
        <f t="shared" si="1"/>
        <v>2444.5190716293782</v>
      </c>
      <c r="J48" s="125">
        <f t="shared" si="0"/>
        <v>8486125.432267921</v>
      </c>
      <c r="K48" s="123">
        <f t="shared" si="2"/>
        <v>1.4587593647445696E+49</v>
      </c>
    </row>
    <row r="49" spans="1:11">
      <c r="A49" s="1">
        <v>45</v>
      </c>
      <c r="B49" s="2">
        <v>1.7600854999999901E+52</v>
      </c>
      <c r="C49" s="1">
        <v>2.1519999999999899</v>
      </c>
      <c r="D49" s="1">
        <v>2060</v>
      </c>
      <c r="E49" s="1">
        <v>3.1091999999992601</v>
      </c>
      <c r="F49" s="1">
        <v>1.0000000000000001E-5</v>
      </c>
      <c r="G49" s="2">
        <v>3520000000</v>
      </c>
      <c r="H49" s="126"/>
      <c r="I49" s="124">
        <f t="shared" si="1"/>
        <v>2454.7570136441409</v>
      </c>
      <c r="J49" s="125">
        <f t="shared" si="0"/>
        <v>7959445.95503591</v>
      </c>
      <c r="K49" s="123">
        <f t="shared" si="2"/>
        <v>1.3967712401262206E+49</v>
      </c>
    </row>
    <row r="50" spans="1:11">
      <c r="A50" s="1">
        <v>46</v>
      </c>
      <c r="B50" s="2">
        <v>1.77008599999999E+52</v>
      </c>
      <c r="C50" s="1">
        <v>2.1639999999999899</v>
      </c>
      <c r="D50" s="1">
        <v>2070</v>
      </c>
      <c r="E50" s="1">
        <v>3.1202999999992498</v>
      </c>
      <c r="F50" s="1">
        <v>1.0000000000000001E-5</v>
      </c>
      <c r="G50" s="2">
        <v>3540000000</v>
      </c>
      <c r="H50" s="126"/>
      <c r="I50" s="124">
        <f t="shared" si="1"/>
        <v>2464.9929397398378</v>
      </c>
      <c r="J50" s="125">
        <f t="shared" si="0"/>
        <v>7468735.4493389046</v>
      </c>
      <c r="K50" s="123">
        <f t="shared" si="2"/>
        <v>1.3372685235695225E+49</v>
      </c>
    </row>
    <row r="51" spans="1:11">
      <c r="A51" s="1">
        <v>47</v>
      </c>
      <c r="B51" s="2">
        <v>1.7800864999999901E+52</v>
      </c>
      <c r="C51" s="1">
        <v>2.1759999999999899</v>
      </c>
      <c r="D51" s="1">
        <v>2080</v>
      </c>
      <c r="E51" s="1">
        <v>3.1313999999992399</v>
      </c>
      <c r="F51" s="1">
        <v>1.0000000000000001E-5</v>
      </c>
      <c r="G51" s="2">
        <v>3560000000</v>
      </c>
      <c r="H51" s="126"/>
      <c r="I51" s="124">
        <f t="shared" si="1"/>
        <v>2475.2268754276433</v>
      </c>
      <c r="J51" s="125">
        <f t="shared" si="0"/>
        <v>7011326.1065022619</v>
      </c>
      <c r="K51" s="123">
        <f t="shared" si="2"/>
        <v>1.2801591074500174E+49</v>
      </c>
    </row>
    <row r="52" spans="1:11">
      <c r="A52" s="1">
        <v>48</v>
      </c>
      <c r="B52" s="2">
        <v>1.79008699999999E+52</v>
      </c>
      <c r="C52" s="1">
        <v>2.18799999999999</v>
      </c>
      <c r="D52" s="1">
        <v>2090</v>
      </c>
      <c r="E52" s="1">
        <v>3.1424999999992398</v>
      </c>
      <c r="F52" s="1">
        <v>1.0000000000000001E-5</v>
      </c>
      <c r="G52" s="2">
        <v>3580000000</v>
      </c>
      <c r="H52" s="126"/>
      <c r="I52" s="124">
        <f t="shared" si="1"/>
        <v>2485.4588457900854</v>
      </c>
      <c r="J52" s="125">
        <f t="shared" si="0"/>
        <v>6584762.927922491</v>
      </c>
      <c r="K52" s="123">
        <f t="shared" si="2"/>
        <v>1.2253539163489799E+49</v>
      </c>
    </row>
    <row r="53" spans="1:11">
      <c r="A53" s="1">
        <v>49</v>
      </c>
      <c r="B53" s="2">
        <v>1.8000874999999901E+52</v>
      </c>
      <c r="C53" s="1">
        <v>2.19999999999999</v>
      </c>
      <c r="D53" s="1">
        <v>2100</v>
      </c>
      <c r="E53" s="1">
        <v>3.1535999999992299</v>
      </c>
      <c r="F53" s="1">
        <v>1.0000000000000001E-5</v>
      </c>
      <c r="G53" s="2">
        <v>3600000000</v>
      </c>
      <c r="H53" s="126"/>
      <c r="I53" s="124">
        <f t="shared" si="1"/>
        <v>2495.6888754900151</v>
      </c>
      <c r="J53" s="125">
        <f t="shared" si="0"/>
        <v>6186785.6055223811</v>
      </c>
      <c r="K53" s="123">
        <f t="shared" si="2"/>
        <v>1.1727668267176252E+49</v>
      </c>
    </row>
    <row r="54" spans="1:11">
      <c r="A54" s="1">
        <v>50</v>
      </c>
      <c r="B54" s="2">
        <v>1.81008799999999E+52</v>
      </c>
      <c r="C54" s="1">
        <v>2.21199999999999</v>
      </c>
      <c r="D54" s="1">
        <v>2110</v>
      </c>
      <c r="E54" s="1">
        <v>3.16469999999922</v>
      </c>
      <c r="F54" s="1">
        <v>1.0000000000000001E-5</v>
      </c>
      <c r="G54" s="2">
        <v>3620000000</v>
      </c>
      <c r="H54" s="126"/>
      <c r="I54" s="124">
        <f t="shared" si="1"/>
        <v>2505.9169887793405</v>
      </c>
      <c r="J54" s="125">
        <f t="shared" si="0"/>
        <v>5815312.0389199639</v>
      </c>
      <c r="K54" s="123">
        <f t="shared" si="2"/>
        <v>1.12231458762336E+49</v>
      </c>
    </row>
    <row r="55" spans="1:11">
      <c r="A55" s="1">
        <v>51</v>
      </c>
      <c r="B55" s="2">
        <v>1.8200884999999901E+52</v>
      </c>
      <c r="C55" s="1">
        <v>2.22399999999999</v>
      </c>
      <c r="D55" s="1">
        <v>2120</v>
      </c>
      <c r="E55" s="1">
        <v>3.1757999999992101</v>
      </c>
      <c r="F55" s="1">
        <v>1.0000000000000001E-5</v>
      </c>
      <c r="G55" s="2">
        <v>3640000000</v>
      </c>
      <c r="H55" s="126"/>
      <c r="I55" s="124">
        <f t="shared" si="1"/>
        <v>2516.1432095075538</v>
      </c>
      <c r="J55" s="125">
        <f t="shared" si="0"/>
        <v>5468423.3332582563</v>
      </c>
      <c r="K55" s="123">
        <f t="shared" si="2"/>
        <v>1.0739167426297323E+49</v>
      </c>
    </row>
    <row r="56" spans="1:11">
      <c r="A56" s="1">
        <v>52</v>
      </c>
      <c r="B56" s="2">
        <v>1.8300889999999899E+52</v>
      </c>
      <c r="C56" s="1">
        <v>2.23599999999999</v>
      </c>
      <c r="D56" s="1">
        <v>2130</v>
      </c>
      <c r="E56" s="1">
        <v>3.1868999999991998</v>
      </c>
      <c r="F56" s="1">
        <v>1.0000000000000001E-5</v>
      </c>
      <c r="G56" s="2">
        <v>3660000000</v>
      </c>
      <c r="H56" s="126"/>
      <c r="I56" s="124">
        <f t="shared" si="1"/>
        <v>2526.3675611300446</v>
      </c>
      <c r="J56" s="125">
        <f t="shared" si="0"/>
        <v>5144350.1372721167</v>
      </c>
      <c r="K56" s="123">
        <f t="shared" si="2"/>
        <v>1.0274955528553009E+49</v>
      </c>
    </row>
    <row r="57" spans="1:11">
      <c r="A57" s="1">
        <v>53</v>
      </c>
      <c r="B57" s="2">
        <v>1.8400894999999901E+52</v>
      </c>
      <c r="C57" s="1">
        <v>2.24799999999999</v>
      </c>
      <c r="D57" s="1">
        <v>2140</v>
      </c>
      <c r="E57" s="1">
        <v>3.1979999999991899</v>
      </c>
      <c r="F57" s="1">
        <v>1.0000000000000001E-5</v>
      </c>
      <c r="G57" s="2">
        <v>3680000000</v>
      </c>
      <c r="H57" s="126"/>
      <c r="I57" s="124">
        <f t="shared" si="1"/>
        <v>2536.590066716205</v>
      </c>
      <c r="J57" s="125">
        <f t="shared" si="0"/>
        <v>4841460.1951743923</v>
      </c>
      <c r="K57" s="123">
        <f t="shared" si="2"/>
        <v>9.8297592125198934E+48</v>
      </c>
    </row>
    <row r="58" spans="1:11">
      <c r="A58" s="1">
        <v>54</v>
      </c>
      <c r="B58" s="2">
        <v>1.8500899999999899E+52</v>
      </c>
      <c r="C58" s="1">
        <v>2.25999999999999</v>
      </c>
      <c r="D58" s="1">
        <v>2150</v>
      </c>
      <c r="E58" s="1">
        <v>3.2090999999991801</v>
      </c>
      <c r="F58" s="1">
        <v>1.0000000000000001E-5</v>
      </c>
      <c r="G58" s="2">
        <v>3700000000</v>
      </c>
      <c r="H58" s="126"/>
      <c r="I58" s="124">
        <f t="shared" si="1"/>
        <v>2546.8107489573385</v>
      </c>
      <c r="J58" s="125">
        <f t="shared" si="0"/>
        <v>4558246.998479398</v>
      </c>
      <c r="K58" s="123">
        <f t="shared" si="2"/>
        <v>9.4028531813853093E+48</v>
      </c>
    </row>
    <row r="59" spans="1:11">
      <c r="A59" s="1">
        <v>55</v>
      </c>
      <c r="B59" s="2">
        <v>1.8600904999999901E+52</v>
      </c>
      <c r="C59" s="1">
        <v>2.27199999999999</v>
      </c>
      <c r="D59" s="1">
        <v>2160</v>
      </c>
      <c r="E59" s="1">
        <v>3.2201999999991702</v>
      </c>
      <c r="F59" s="1">
        <v>1.0000000000000001E-5</v>
      </c>
      <c r="G59" s="2">
        <v>3720000000</v>
      </c>
      <c r="H59" s="126"/>
      <c r="I59" s="124">
        <f t="shared" si="1"/>
        <v>2557.0296301743733</v>
      </c>
      <c r="J59" s="125">
        <f t="shared" si="0"/>
        <v>4293319.4351160731</v>
      </c>
      <c r="K59" s="123">
        <f t="shared" si="2"/>
        <v>8.9935370801994525E+48</v>
      </c>
    </row>
    <row r="60" spans="1:11">
      <c r="A60" s="1">
        <v>56</v>
      </c>
      <c r="B60" s="2">
        <v>1.8700909999999899E+52</v>
      </c>
      <c r="C60" s="1">
        <v>2.28399999999999</v>
      </c>
      <c r="D60" s="1">
        <v>2170</v>
      </c>
      <c r="E60" s="1">
        <v>3.2312999999991598</v>
      </c>
      <c r="F60" s="1">
        <v>1.0000000000000001E-5</v>
      </c>
      <c r="G60" s="2">
        <v>3740000000</v>
      </c>
      <c r="H60" s="126"/>
      <c r="I60" s="124">
        <f t="shared" si="1"/>
        <v>2567.2467323253886</v>
      </c>
      <c r="J60" s="125">
        <f t="shared" si="0"/>
        <v>4045392.3432572749</v>
      </c>
      <c r="K60" s="123">
        <f t="shared" si="2"/>
        <v>8.601134777196993E+48</v>
      </c>
    </row>
    <row r="61" spans="1:11">
      <c r="A61" s="1">
        <v>57</v>
      </c>
      <c r="B61" s="2">
        <v>1.8800914999999901E+52</v>
      </c>
      <c r="C61" s="1">
        <v>2.29599999999999</v>
      </c>
      <c r="D61" s="1">
        <v>2180</v>
      </c>
      <c r="E61" s="1">
        <v>3.24239999999915</v>
      </c>
      <c r="F61" s="1">
        <v>1.0000000000000001E-5</v>
      </c>
      <c r="G61" s="2">
        <v>3760000000</v>
      </c>
      <c r="H61" s="126"/>
      <c r="I61" s="124">
        <f t="shared" si="1"/>
        <v>2577.4620770129586</v>
      </c>
      <c r="J61" s="125">
        <f t="shared" si="0"/>
        <v>3813277.8863293971</v>
      </c>
      <c r="K61" s="123">
        <f t="shared" si="2"/>
        <v>8.224993658471602E+48</v>
      </c>
    </row>
    <row r="62" spans="1:11">
      <c r="A62" s="1">
        <v>58</v>
      </c>
      <c r="B62" s="2">
        <v>1.8900919999999899E+52</v>
      </c>
      <c r="C62" s="1">
        <v>2.3079999999999901</v>
      </c>
      <c r="D62" s="1">
        <v>2190</v>
      </c>
      <c r="E62" s="1">
        <v>3.2534999999991401</v>
      </c>
      <c r="F62" s="1">
        <v>1.0000000000000001E-5</v>
      </c>
      <c r="G62" s="2">
        <v>3780000000</v>
      </c>
      <c r="H62" s="126"/>
      <c r="I62" s="124">
        <f t="shared" si="1"/>
        <v>2587.6756854913169</v>
      </c>
      <c r="J62" s="125">
        <f t="shared" si="0"/>
        <v>3595877.6737794653</v>
      </c>
      <c r="K62" s="123">
        <f t="shared" si="2"/>
        <v>7.8644839361908417E+48</v>
      </c>
    </row>
    <row r="63" spans="1:11">
      <c r="A63" s="1">
        <v>59</v>
      </c>
      <c r="B63" s="2">
        <v>1.90009249999999E+52</v>
      </c>
      <c r="C63" s="1">
        <v>2.3199999999999901</v>
      </c>
      <c r="D63" s="1">
        <v>2200</v>
      </c>
      <c r="E63" s="1">
        <v>3.2645999999991302</v>
      </c>
      <c r="F63" s="1">
        <v>1.0000000000000001E-5</v>
      </c>
      <c r="G63" s="2">
        <v>3800000000</v>
      </c>
      <c r="H63" s="126"/>
      <c r="I63" s="124">
        <f t="shared" si="1"/>
        <v>2597.8875786733511</v>
      </c>
      <c r="J63" s="125">
        <f t="shared" si="0"/>
        <v>3392175.5594644416</v>
      </c>
      <c r="K63" s="123">
        <f t="shared" si="2"/>
        <v>7.5189979705032819E+48</v>
      </c>
    </row>
    <row r="64" spans="1:11">
      <c r="A64" s="1">
        <v>60</v>
      </c>
      <c r="B64" s="2">
        <v>1.9100929999999899E+52</v>
      </c>
      <c r="C64" s="1">
        <v>2.3319999999999901</v>
      </c>
      <c r="D64" s="1">
        <v>2210</v>
      </c>
      <c r="E64" s="1">
        <v>3.2756999999991199</v>
      </c>
      <c r="F64" s="1">
        <v>1.0000000000000001E-5</v>
      </c>
      <c r="G64" s="2">
        <v>3820000000</v>
      </c>
      <c r="H64" s="126"/>
      <c r="I64" s="124">
        <f t="shared" si="1"/>
        <v>2608.0977771374251</v>
      </c>
      <c r="J64" s="125">
        <f t="shared" si="0"/>
        <v>3201231.0560765942</v>
      </c>
      <c r="K64" s="123">
        <f t="shared" si="2"/>
        <v>7.1879496052561028E+48</v>
      </c>
    </row>
    <row r="65" spans="1:11">
      <c r="A65" s="1">
        <v>61</v>
      </c>
      <c r="B65" s="2">
        <v>1.92009349999999E+52</v>
      </c>
      <c r="C65" s="1">
        <v>2.3439999999999901</v>
      </c>
      <c r="D65" s="1">
        <v>2220</v>
      </c>
      <c r="E65" s="1">
        <v>3.28679999999911</v>
      </c>
      <c r="F65" s="1">
        <v>1.0000000000000001E-5</v>
      </c>
      <c r="G65" s="2">
        <v>3840000000</v>
      </c>
      <c r="H65" s="126"/>
      <c r="I65" s="124">
        <f t="shared" si="1"/>
        <v>2618.3063011340441</v>
      </c>
      <c r="J65" s="125">
        <f t="shared" si="0"/>
        <v>3022173.3099087169</v>
      </c>
      <c r="K65" s="123">
        <f t="shared" si="2"/>
        <v>6.870773517610083E+48</v>
      </c>
    </row>
    <row r="66" spans="1:11">
      <c r="A66" s="1">
        <v>62</v>
      </c>
      <c r="B66" s="2">
        <v>1.9300939999999899E+52</v>
      </c>
      <c r="C66" s="1">
        <v>2.3559999999999901</v>
      </c>
      <c r="D66" s="1">
        <v>2230</v>
      </c>
      <c r="E66" s="1">
        <v>3.2978999999991001</v>
      </c>
      <c r="F66" s="1">
        <v>1.0000000000000001E-5</v>
      </c>
      <c r="G66" s="2">
        <v>3860000000</v>
      </c>
      <c r="H66" s="126"/>
      <c r="I66" s="124">
        <f t="shared" si="1"/>
        <v>2628.5131705923582</v>
      </c>
      <c r="J66" s="125">
        <f t="shared" si="0"/>
        <v>2854195.5855615102</v>
      </c>
      <c r="K66" s="123">
        <f t="shared" si="2"/>
        <v>6.5669245816094097E+48</v>
      </c>
    </row>
    <row r="67" spans="1:11">
      <c r="A67" s="1">
        <v>63</v>
      </c>
      <c r="B67" s="2">
        <v>1.94009449999999E+52</v>
      </c>
      <c r="C67" s="1">
        <v>2.3679999999999901</v>
      </c>
      <c r="D67" s="1">
        <v>2240</v>
      </c>
      <c r="E67" s="1">
        <v>3.3089999999990898</v>
      </c>
      <c r="F67" s="1">
        <v>1.0000000000000001E-5</v>
      </c>
      <c r="G67" s="2">
        <v>3880000000</v>
      </c>
      <c r="H67" s="126"/>
      <c r="I67" s="124">
        <f t="shared" si="1"/>
        <v>2638.7184051265085</v>
      </c>
      <c r="J67" s="125">
        <f t="shared" si="0"/>
        <v>2696550.214966367</v>
      </c>
      <c r="K67" s="123">
        <f t="shared" si="2"/>
        <v>6.2758772457366693E+48</v>
      </c>
    </row>
  </sheetData>
  <phoneticPr fontId="2" type="noConversion"/>
  <pageMargins left="0.75" right="0.75" top="1" bottom="1" header="0.5" footer="0.5"/>
  <headerFooter alignWithMargins="0"/>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sheet____2"/>
  <dimension ref="A1:J21"/>
  <sheetViews>
    <sheetView workbookViewId="0"/>
  </sheetViews>
  <sheetFormatPr defaultColWidth="8.796875" defaultRowHeight="12.75"/>
  <cols>
    <col min="1" max="1" width="3.6640625" customWidth="1"/>
    <col min="2" max="2" width="12" bestFit="1" customWidth="1"/>
    <col min="4" max="4" width="15.46484375" customWidth="1"/>
    <col min="5" max="5" width="10.796875" customWidth="1"/>
    <col min="6" max="6" width="12.46484375" bestFit="1" customWidth="1"/>
    <col min="7" max="7" width="13.33203125" bestFit="1" customWidth="1"/>
    <col min="8" max="8" width="8.46484375" bestFit="1" customWidth="1"/>
  </cols>
  <sheetData>
    <row r="1" spans="1:10">
      <c r="A1" t="s">
        <v>45</v>
      </c>
    </row>
    <row r="2" spans="1:10" ht="13.15">
      <c r="A2" s="3" t="s">
        <v>44</v>
      </c>
    </row>
    <row r="3" spans="1:10" ht="13.15" thickBot="1"/>
    <row r="4" spans="1:10" ht="15.4" thickBot="1">
      <c r="A4" s="37" t="s">
        <v>36</v>
      </c>
      <c r="B4" s="38" t="s">
        <v>37</v>
      </c>
      <c r="C4" s="38" t="s">
        <v>38</v>
      </c>
      <c r="D4" s="38" t="s">
        <v>39</v>
      </c>
      <c r="E4" s="38" t="s">
        <v>40</v>
      </c>
      <c r="F4" s="38" t="s">
        <v>41</v>
      </c>
      <c r="G4" s="38" t="s">
        <v>42</v>
      </c>
      <c r="H4" s="39" t="s">
        <v>43</v>
      </c>
      <c r="I4" s="40" t="s">
        <v>23</v>
      </c>
      <c r="J4" s="41" t="s">
        <v>24</v>
      </c>
    </row>
    <row r="5" spans="1:10" ht="13.15" thickBot="1">
      <c r="A5" s="42">
        <v>0</v>
      </c>
      <c r="B5" s="43">
        <v>0</v>
      </c>
      <c r="C5" s="43">
        <v>2</v>
      </c>
      <c r="D5" s="44">
        <f>B5+$J$5*H5</f>
        <v>0.76393202250021042</v>
      </c>
      <c r="E5" s="44">
        <f>B5+$I$5*H5</f>
        <v>1.2360679774997898</v>
      </c>
      <c r="F5" s="43">
        <f>(EXP(D5)-2-D5)^2</f>
        <v>0.38097472505495839</v>
      </c>
      <c r="G5" s="43">
        <f>(EXP(E5)-2-E5)^2</f>
        <v>4.2429661890804049E-2</v>
      </c>
      <c r="H5" s="45">
        <f>C5-B5</f>
        <v>2</v>
      </c>
      <c r="I5" s="32">
        <v>0.6180339887498949</v>
      </c>
      <c r="J5" s="46">
        <v>0.38196601125010521</v>
      </c>
    </row>
    <row r="6" spans="1:10">
      <c r="A6" s="47">
        <v>1</v>
      </c>
      <c r="B6" s="48">
        <f>IF(F5&lt;G5,B5,D5)</f>
        <v>0.76393202250021042</v>
      </c>
      <c r="C6" s="48">
        <f>IF(F5&lt;G5,E5,C5)</f>
        <v>2</v>
      </c>
      <c r="D6" s="48">
        <f>IF(F5&lt;G5,B6+$J$5*H6,E5)</f>
        <v>1.2360679774997898</v>
      </c>
      <c r="E6" s="48">
        <f>IF(F5&lt;G5,D5,B6+$I$5*H6)</f>
        <v>1.5278640450004208</v>
      </c>
      <c r="F6" s="49">
        <f t="shared" ref="F6:G21" si="0">(EXP(D6)-2-D6)^2</f>
        <v>4.2429661890804049E-2</v>
      </c>
      <c r="G6" s="49">
        <f t="shared" si="0"/>
        <v>1.167391838017428</v>
      </c>
      <c r="H6" s="50">
        <f t="shared" ref="H6:H21" si="1">C6-B6</f>
        <v>1.2360679774997896</v>
      </c>
    </row>
    <row r="7" spans="1:10">
      <c r="A7" s="47">
        <v>2</v>
      </c>
      <c r="B7" s="48">
        <f t="shared" ref="B7:B21" si="2">IF(F6&lt;G6,B6,D6)</f>
        <v>0.76393202250021042</v>
      </c>
      <c r="C7" s="48">
        <f t="shared" ref="C7:C21" si="3">IF(F6&lt;G6,E6,C6)</f>
        <v>1.5278640450004208</v>
      </c>
      <c r="D7" s="48">
        <f t="shared" ref="D7:D21" si="4">IF(F6&lt;G6,B7+$J$5*H7,E6)</f>
        <v>1.0557280900008414</v>
      </c>
      <c r="E7" s="48">
        <f t="shared" ref="E7:E21" si="5">IF(F6&lt;G6,D6,B7+$I$5*H7)</f>
        <v>1.2360679774997898</v>
      </c>
      <c r="F7" s="49">
        <f t="shared" si="0"/>
        <v>3.3000761896144634E-2</v>
      </c>
      <c r="G7" s="49">
        <f t="shared" si="0"/>
        <v>4.2429661890804049E-2</v>
      </c>
      <c r="H7" s="50">
        <f t="shared" si="1"/>
        <v>0.76393202250021042</v>
      </c>
    </row>
    <row r="8" spans="1:10">
      <c r="A8" s="47">
        <v>3</v>
      </c>
      <c r="B8" s="48">
        <f t="shared" si="2"/>
        <v>0.76393202250021042</v>
      </c>
      <c r="C8" s="48">
        <f t="shared" si="3"/>
        <v>1.2360679774997898</v>
      </c>
      <c r="D8" s="48">
        <f t="shared" si="4"/>
        <v>0.94427190999915889</v>
      </c>
      <c r="E8" s="48">
        <f t="shared" si="5"/>
        <v>1.0557280900008414</v>
      </c>
      <c r="F8" s="49">
        <f t="shared" si="0"/>
        <v>0.1393761022586392</v>
      </c>
      <c r="G8" s="49">
        <f t="shared" si="0"/>
        <v>3.3000761896144634E-2</v>
      </c>
      <c r="H8" s="50">
        <f t="shared" si="1"/>
        <v>0.47213595499957939</v>
      </c>
    </row>
    <row r="9" spans="1:10">
      <c r="A9" s="47">
        <v>4</v>
      </c>
      <c r="B9" s="48">
        <f t="shared" si="2"/>
        <v>0.94427190999915889</v>
      </c>
      <c r="C9" s="48">
        <f t="shared" si="3"/>
        <v>1.2360679774997898</v>
      </c>
      <c r="D9" s="48">
        <f t="shared" si="4"/>
        <v>1.0557280900008414</v>
      </c>
      <c r="E9" s="48">
        <f t="shared" si="5"/>
        <v>1.1246117974981074</v>
      </c>
      <c r="F9" s="49">
        <f t="shared" si="0"/>
        <v>3.3000761896144634E-2</v>
      </c>
      <c r="G9" s="49">
        <f t="shared" si="0"/>
        <v>2.0784904443050139E-3</v>
      </c>
      <c r="H9" s="50">
        <f t="shared" si="1"/>
        <v>0.29179606750063092</v>
      </c>
    </row>
    <row r="10" spans="1:10">
      <c r="A10" s="47">
        <v>5</v>
      </c>
      <c r="B10" s="48">
        <f t="shared" si="2"/>
        <v>1.0557280900008414</v>
      </c>
      <c r="C10" s="48">
        <f t="shared" si="3"/>
        <v>1.2360679774997898</v>
      </c>
      <c r="D10" s="48">
        <f t="shared" si="4"/>
        <v>1.1246117974981074</v>
      </c>
      <c r="E10" s="48">
        <f t="shared" si="5"/>
        <v>1.1671842700025239</v>
      </c>
      <c r="F10" s="49">
        <f t="shared" si="0"/>
        <v>2.0784904443050139E-3</v>
      </c>
      <c r="G10" s="49">
        <f t="shared" si="0"/>
        <v>2.0929588996426987E-3</v>
      </c>
      <c r="H10" s="50">
        <f t="shared" si="1"/>
        <v>0.18033988749894836</v>
      </c>
    </row>
    <row r="11" spans="1:10">
      <c r="A11" s="47">
        <v>6</v>
      </c>
      <c r="B11" s="48">
        <f t="shared" si="2"/>
        <v>1.0557280900008414</v>
      </c>
      <c r="C11" s="48">
        <f t="shared" si="3"/>
        <v>1.1671842700025239</v>
      </c>
      <c r="D11" s="48">
        <f t="shared" si="4"/>
        <v>1.0983005625052578</v>
      </c>
      <c r="E11" s="48">
        <f t="shared" si="5"/>
        <v>1.1246117974981074</v>
      </c>
      <c r="F11" s="49">
        <f t="shared" si="0"/>
        <v>9.8477033644545197E-3</v>
      </c>
      <c r="G11" s="49">
        <f t="shared" si="0"/>
        <v>2.0784904443050139E-3</v>
      </c>
      <c r="H11" s="50">
        <f t="shared" si="1"/>
        <v>0.11145618000168245</v>
      </c>
    </row>
    <row r="12" spans="1:10">
      <c r="A12" s="47">
        <v>7</v>
      </c>
      <c r="B12" s="48">
        <f t="shared" si="2"/>
        <v>1.0983005625052578</v>
      </c>
      <c r="C12" s="48">
        <f t="shared" si="3"/>
        <v>1.1671842700025239</v>
      </c>
      <c r="D12" s="48">
        <f t="shared" si="4"/>
        <v>1.1246117974981074</v>
      </c>
      <c r="E12" s="48">
        <f t="shared" si="5"/>
        <v>1.1408730350096743</v>
      </c>
      <c r="F12" s="49">
        <f t="shared" si="0"/>
        <v>2.0784904443050139E-3</v>
      </c>
      <c r="G12" s="49">
        <f t="shared" si="0"/>
        <v>1.2936104329017091E-4</v>
      </c>
      <c r="H12" s="50">
        <f t="shared" si="1"/>
        <v>6.8883707497266133E-2</v>
      </c>
    </row>
    <row r="13" spans="1:10">
      <c r="A13" s="47">
        <v>8</v>
      </c>
      <c r="B13" s="48">
        <f t="shared" si="2"/>
        <v>1.1246117974981074</v>
      </c>
      <c r="C13" s="48">
        <f t="shared" si="3"/>
        <v>1.1671842700025239</v>
      </c>
      <c r="D13" s="48">
        <f t="shared" si="4"/>
        <v>1.1408730350096743</v>
      </c>
      <c r="E13" s="48">
        <f t="shared" si="5"/>
        <v>1.1509230324909572</v>
      </c>
      <c r="F13" s="49">
        <f t="shared" si="0"/>
        <v>1.2936104329017091E-4</v>
      </c>
      <c r="G13" s="49">
        <f t="shared" si="0"/>
        <v>1.0376147480085286E-4</v>
      </c>
      <c r="H13" s="50">
        <f t="shared" si="1"/>
        <v>4.2572472504416536E-2</v>
      </c>
    </row>
    <row r="14" spans="1:10">
      <c r="A14" s="47">
        <v>9</v>
      </c>
      <c r="B14" s="48">
        <f t="shared" si="2"/>
        <v>1.1408730350096743</v>
      </c>
      <c r="C14" s="48">
        <f t="shared" si="3"/>
        <v>1.1671842700025239</v>
      </c>
      <c r="D14" s="48">
        <f t="shared" si="4"/>
        <v>1.1509230324909572</v>
      </c>
      <c r="E14" s="48">
        <f t="shared" si="5"/>
        <v>1.157134272521241</v>
      </c>
      <c r="F14" s="49">
        <f t="shared" si="0"/>
        <v>1.0376147480085286E-4</v>
      </c>
      <c r="G14" s="49">
        <f t="shared" si="0"/>
        <v>5.6029778446194036E-4</v>
      </c>
      <c r="H14" s="50">
        <f t="shared" si="1"/>
        <v>2.6311234992849597E-2</v>
      </c>
    </row>
    <row r="15" spans="1:10">
      <c r="A15" s="47">
        <v>10</v>
      </c>
      <c r="B15" s="48">
        <f t="shared" si="2"/>
        <v>1.1408730350096743</v>
      </c>
      <c r="C15" s="48">
        <f t="shared" si="3"/>
        <v>1.157134272521241</v>
      </c>
      <c r="D15" s="48">
        <f t="shared" si="4"/>
        <v>1.1470842750399579</v>
      </c>
      <c r="E15" s="48">
        <f t="shared" si="5"/>
        <v>1.1509230324909572</v>
      </c>
      <c r="F15" s="49">
        <f t="shared" si="0"/>
        <v>3.6619580732804553E-6</v>
      </c>
      <c r="G15" s="49">
        <f t="shared" si="0"/>
        <v>1.0376147480085286E-4</v>
      </c>
      <c r="H15" s="50">
        <f t="shared" si="1"/>
        <v>1.6261237511566717E-2</v>
      </c>
    </row>
    <row r="16" spans="1:10">
      <c r="A16" s="47">
        <v>11</v>
      </c>
      <c r="B16" s="48">
        <f t="shared" si="2"/>
        <v>1.1408730350096743</v>
      </c>
      <c r="C16" s="48">
        <f t="shared" si="3"/>
        <v>1.1509230324909572</v>
      </c>
      <c r="D16" s="48">
        <f t="shared" si="4"/>
        <v>1.1447117924606736</v>
      </c>
      <c r="E16" s="48">
        <f t="shared" si="5"/>
        <v>1.1470842750399579</v>
      </c>
      <c r="F16" s="49">
        <f t="shared" si="0"/>
        <v>1.008685158854267E-5</v>
      </c>
      <c r="G16" s="49">
        <f t="shared" si="0"/>
        <v>3.6619580732804553E-6</v>
      </c>
      <c r="H16" s="50">
        <f t="shared" si="1"/>
        <v>1.004999748128288E-2</v>
      </c>
    </row>
    <row r="17" spans="1:8">
      <c r="A17" s="47">
        <v>12</v>
      </c>
      <c r="B17" s="48">
        <f t="shared" si="2"/>
        <v>1.1447117924606736</v>
      </c>
      <c r="C17" s="48">
        <f t="shared" si="3"/>
        <v>1.1509230324909572</v>
      </c>
      <c r="D17" s="48">
        <f t="shared" si="4"/>
        <v>1.1470842750399579</v>
      </c>
      <c r="E17" s="48">
        <f t="shared" si="5"/>
        <v>1.1485505499116728</v>
      </c>
      <c r="F17" s="49">
        <f t="shared" si="0"/>
        <v>3.6619580732804553E-6</v>
      </c>
      <c r="G17" s="49">
        <f t="shared" si="0"/>
        <v>2.568495561475166E-5</v>
      </c>
      <c r="H17" s="50">
        <f t="shared" si="1"/>
        <v>6.2112400302836157E-3</v>
      </c>
    </row>
    <row r="18" spans="1:8">
      <c r="A18" s="47">
        <v>13</v>
      </c>
      <c r="B18" s="48">
        <f t="shared" si="2"/>
        <v>1.1447117924606736</v>
      </c>
      <c r="C18" s="48">
        <f t="shared" si="3"/>
        <v>1.1485505499116728</v>
      </c>
      <c r="D18" s="48">
        <f t="shared" si="4"/>
        <v>1.1461780673323885</v>
      </c>
      <c r="E18" s="48">
        <f t="shared" si="5"/>
        <v>1.1470842750399579</v>
      </c>
      <c r="F18" s="49">
        <f t="shared" si="0"/>
        <v>1.0576494697022041E-9</v>
      </c>
      <c r="G18" s="49">
        <f t="shared" si="0"/>
        <v>3.6619580732804553E-6</v>
      </c>
      <c r="H18" s="50">
        <f t="shared" si="1"/>
        <v>3.8387574509992639E-3</v>
      </c>
    </row>
    <row r="19" spans="1:8">
      <c r="A19" s="47">
        <v>14</v>
      </c>
      <c r="B19" s="48">
        <f t="shared" si="2"/>
        <v>1.1447117924606736</v>
      </c>
      <c r="C19" s="48">
        <f t="shared" si="3"/>
        <v>1.1470842750399579</v>
      </c>
      <c r="D19" s="48">
        <f t="shared" si="4"/>
        <v>1.1456180001682432</v>
      </c>
      <c r="E19" s="48">
        <f t="shared" si="5"/>
        <v>1.1461780673323885</v>
      </c>
      <c r="F19" s="49">
        <f t="shared" si="0"/>
        <v>1.522790135112099E-6</v>
      </c>
      <c r="G19" s="49">
        <f t="shared" si="0"/>
        <v>1.0576494697022041E-9</v>
      </c>
      <c r="H19" s="50">
        <f t="shared" si="1"/>
        <v>2.3724825792843518E-3</v>
      </c>
    </row>
    <row r="20" spans="1:8">
      <c r="A20" s="47">
        <v>15</v>
      </c>
      <c r="B20" s="48">
        <f t="shared" si="2"/>
        <v>1.1456180001682432</v>
      </c>
      <c r="C20" s="48">
        <f t="shared" si="3"/>
        <v>1.1470842750399579</v>
      </c>
      <c r="D20" s="48">
        <f t="shared" si="4"/>
        <v>1.1461780673323885</v>
      </c>
      <c r="E20" s="48">
        <f t="shared" si="5"/>
        <v>1.1465242078758129</v>
      </c>
      <c r="F20" s="49">
        <f t="shared" si="0"/>
        <v>1.0576494697022041E-9</v>
      </c>
      <c r="G20" s="49">
        <f t="shared" si="0"/>
        <v>5.0485992805765228E-7</v>
      </c>
      <c r="H20" s="50">
        <f t="shared" si="1"/>
        <v>1.4662748717146901E-3</v>
      </c>
    </row>
    <row r="21" spans="1:8" ht="13.15" thickBot="1">
      <c r="A21" s="51">
        <v>16</v>
      </c>
      <c r="B21" s="52">
        <f t="shared" si="2"/>
        <v>1.1456180001682432</v>
      </c>
      <c r="C21" s="52">
        <f t="shared" si="3"/>
        <v>1.1465242078758129</v>
      </c>
      <c r="D21" s="52">
        <f t="shared" si="4"/>
        <v>1.1459641407116676</v>
      </c>
      <c r="E21" s="52">
        <f t="shared" si="5"/>
        <v>1.1461780673323885</v>
      </c>
      <c r="F21" s="53">
        <f t="shared" si="0"/>
        <v>2.4163831354645431E-7</v>
      </c>
      <c r="G21" s="53">
        <f t="shared" si="0"/>
        <v>1.0576494697022041E-9</v>
      </c>
      <c r="H21" s="54">
        <f t="shared" si="1"/>
        <v>9.0620770756966174E-4</v>
      </c>
    </row>
  </sheetData>
  <phoneticPr fontId="2" type="noConversion"/>
  <pageMargins left="0.75" right="0.75" top="1" bottom="1" header="0.5" footer="0.5"/>
  <pageSetup paperSize="9" orientation="portrait" horizontalDpi="200" verticalDpi="200" r:id="rId1"/>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sheet____3"/>
  <dimension ref="A1:L35"/>
  <sheetViews>
    <sheetView workbookViewId="0">
      <selection activeCell="O3" sqref="O3"/>
    </sheetView>
  </sheetViews>
  <sheetFormatPr defaultColWidth="8.796875" defaultRowHeight="12.75"/>
  <cols>
    <col min="1" max="1" width="4.796875" customWidth="1"/>
    <col min="2" max="2" width="8" bestFit="1" customWidth="1"/>
    <col min="3" max="3" width="12.6640625" bestFit="1" customWidth="1"/>
    <col min="4" max="4" width="12" customWidth="1"/>
    <col min="5" max="5" width="6.46484375" bestFit="1" customWidth="1"/>
    <col min="6" max="6" width="12" bestFit="1" customWidth="1"/>
    <col min="7" max="7" width="9" bestFit="1" customWidth="1"/>
    <col min="8" max="8" width="6.46484375" bestFit="1" customWidth="1"/>
    <col min="9" max="10" width="12.46484375" bestFit="1" customWidth="1"/>
  </cols>
  <sheetData>
    <row r="1" spans="1:12" ht="29.25" customHeight="1">
      <c r="A1" s="139" t="s">
        <v>69</v>
      </c>
      <c r="B1" s="140"/>
      <c r="C1" s="140"/>
      <c r="D1" s="140"/>
      <c r="E1" s="139" t="s">
        <v>70</v>
      </c>
      <c r="F1" s="140"/>
      <c r="G1" s="140"/>
      <c r="H1" s="140"/>
      <c r="I1" s="140"/>
      <c r="J1" s="143"/>
      <c r="K1" s="99"/>
      <c r="L1">
        <v>1</v>
      </c>
    </row>
    <row r="2" spans="1:12" ht="18.75" customHeight="1" thickBot="1">
      <c r="A2" s="141"/>
      <c r="B2" s="142"/>
      <c r="C2" s="142"/>
      <c r="D2" s="142"/>
      <c r="E2" s="141"/>
      <c r="F2" s="142"/>
      <c r="G2" s="142"/>
      <c r="H2" s="142"/>
      <c r="I2" s="142"/>
      <c r="J2" s="144"/>
      <c r="K2" s="99"/>
    </row>
    <row r="3" spans="1:12" ht="70.5" customHeight="1" thickBot="1">
      <c r="A3" s="100" t="s">
        <v>0</v>
      </c>
      <c r="B3" s="101" t="s">
        <v>61</v>
      </c>
      <c r="C3" s="101" t="s">
        <v>62</v>
      </c>
      <c r="D3" s="101" t="s">
        <v>63</v>
      </c>
      <c r="E3" s="102" t="s">
        <v>64</v>
      </c>
      <c r="F3" s="102" t="s">
        <v>65</v>
      </c>
      <c r="G3" s="103" t="s">
        <v>66</v>
      </c>
      <c r="H3" s="104" t="s">
        <v>67</v>
      </c>
      <c r="I3" s="103" t="s">
        <v>66</v>
      </c>
      <c r="J3" s="103" t="s">
        <v>68</v>
      </c>
    </row>
    <row r="4" spans="1:12" ht="13.5" thickBot="1">
      <c r="A4" s="97">
        <v>1</v>
      </c>
      <c r="B4" s="98">
        <f ca="1">IF(A4=sheet4!$H$8,sheet4!$K$10,B4)</f>
        <v>38196601126.010521</v>
      </c>
      <c r="C4" s="98">
        <f ca="1">ABS($F$4-B4)</f>
        <v>38196599124.079178</v>
      </c>
      <c r="D4" s="113"/>
      <c r="E4" s="112">
        <f>INDEX(H4:H24,L1)</f>
        <v>1</v>
      </c>
      <c r="F4" s="105">
        <f>sheet1!I5</f>
        <v>2001.9313466616909</v>
      </c>
      <c r="G4" s="106">
        <f ca="1">ABS((D23-D22)/D23)</f>
        <v>7.1501650833151267E-5</v>
      </c>
      <c r="H4" s="107">
        <v>1</v>
      </c>
      <c r="I4" s="108">
        <f ca="1">IF($E$4=H4,$G$4,I4)</f>
        <v>7.1501650833151267E-5</v>
      </c>
      <c r="J4" s="109">
        <f ca="1">MIN(I4:I24)</f>
        <v>7.1501650833151267E-5</v>
      </c>
    </row>
    <row r="5" spans="1:12">
      <c r="A5" s="4">
        <v>2</v>
      </c>
      <c r="B5" s="1">
        <f ca="1">IF(A5=sheet4!$H$8,sheet4!$K$10,B5)</f>
        <v>23606797750.978973</v>
      </c>
      <c r="C5" s="1">
        <f t="shared" ref="C5:C23" ca="1" si="0">ABS($F$4-B5)</f>
        <v>23606795749.047626</v>
      </c>
      <c r="D5" s="5">
        <f t="shared" ref="D5:D23" ca="1" si="1">C5/C4^$E$4</f>
        <v>0.61803396874058025</v>
      </c>
      <c r="H5" s="110">
        <v>1.05</v>
      </c>
      <c r="I5" s="5">
        <f t="shared" ref="I5:I24" ca="1" si="2">IF($E$4=H5,$G$4,I5)</f>
        <v>2.3709286047090505E-2</v>
      </c>
    </row>
    <row r="6" spans="1:12">
      <c r="A6" s="4">
        <v>3</v>
      </c>
      <c r="B6" s="1">
        <f ca="1">IF(A6=sheet4!$H$8,sheet4!$K$10,B6)</f>
        <v>14589803376.031549</v>
      </c>
      <c r="C6" s="1">
        <f t="shared" ca="1" si="0"/>
        <v>14589801374.100203</v>
      </c>
      <c r="D6" s="5">
        <f t="shared" ca="1" si="1"/>
        <v>0.61803395637414293</v>
      </c>
      <c r="H6" s="110">
        <v>1.1000000000000001</v>
      </c>
      <c r="I6" s="5">
        <f t="shared" ca="1" si="2"/>
        <v>4.6924588314621735E-2</v>
      </c>
    </row>
    <row r="7" spans="1:12">
      <c r="A7" s="4">
        <v>4</v>
      </c>
      <c r="B7" s="1">
        <f ca="1">IF(A7=sheet4!$H$8,sheet4!$K$10,B7)</f>
        <v>9016994375.9474277</v>
      </c>
      <c r="C7" s="1">
        <f t="shared" ca="1" si="0"/>
        <v>9016992374.0160809</v>
      </c>
      <c r="D7" s="5">
        <f t="shared" ca="1" si="1"/>
        <v>0.61803393636482495</v>
      </c>
      <c r="H7" s="110">
        <v>1.1499999999999999</v>
      </c>
      <c r="I7" s="5">
        <f t="shared" ca="1" si="2"/>
        <v>6.9587851879264501E-2</v>
      </c>
    </row>
    <row r="8" spans="1:12">
      <c r="A8" s="4">
        <v>5</v>
      </c>
      <c r="B8" s="1">
        <f ca="1">IF(A8=sheet4!$H$8,sheet4!$K$10,B8)</f>
        <v>5572809001.0841236</v>
      </c>
      <c r="C8" s="1">
        <f t="shared" ca="1" si="0"/>
        <v>5572806999.1527767</v>
      </c>
      <c r="D8" s="5">
        <f t="shared" ca="1" si="1"/>
        <v>0.61803390398906399</v>
      </c>
      <c r="H8" s="110">
        <v>1.2</v>
      </c>
      <c r="I8" s="5">
        <f t="shared" ca="1" si="2"/>
        <v>9.171220371761242E-2</v>
      </c>
    </row>
    <row r="9" spans="1:12">
      <c r="A9" s="4">
        <v>6</v>
      </c>
      <c r="B9" s="1">
        <f ca="1">IF(A9=sheet4!$H$8,sheet4!$K$10,B9)</f>
        <v>3444185375.8633046</v>
      </c>
      <c r="C9" s="1">
        <f t="shared" ca="1" si="0"/>
        <v>3444183373.9319577</v>
      </c>
      <c r="D9" s="5">
        <f t="shared" ca="1" si="1"/>
        <v>0.61803385160397095</v>
      </c>
      <c r="H9" s="110">
        <v>1.25</v>
      </c>
      <c r="I9" s="5">
        <f t="shared" ca="1" si="2"/>
        <v>0.11331045865873508</v>
      </c>
    </row>
    <row r="10" spans="1:12">
      <c r="A10" s="4">
        <v>7</v>
      </c>
      <c r="B10" s="1">
        <f ca="1">IF(A10=sheet4!$H$8,sheet4!$K$10,B10)</f>
        <v>2128623626.22082</v>
      </c>
      <c r="C10" s="1">
        <f t="shared" ca="1" si="0"/>
        <v>2128621624.2894733</v>
      </c>
      <c r="D10" s="5">
        <f t="shared" ca="1" si="1"/>
        <v>0.6180337668430792</v>
      </c>
      <c r="H10" s="110">
        <v>1.3</v>
      </c>
      <c r="I10" s="5">
        <f t="shared" ca="1" si="2"/>
        <v>0.13439512680676391</v>
      </c>
    </row>
    <row r="11" spans="1:12">
      <c r="A11" s="4">
        <v>8</v>
      </c>
      <c r="B11" s="1">
        <f ca="1">IF(A11=sheet4!$H$8,sheet4!$K$10,B11)</f>
        <v>1315561750.6424849</v>
      </c>
      <c r="C11" s="1">
        <f t="shared" ca="1" si="0"/>
        <v>1315559748.7111382</v>
      </c>
      <c r="D11" s="5">
        <f t="shared" ca="1" si="1"/>
        <v>0.61803362969699593</v>
      </c>
      <c r="H11" s="110">
        <v>1.35</v>
      </c>
      <c r="I11" s="5">
        <f t="shared" ca="1" si="2"/>
        <v>0.15497842078696106</v>
      </c>
    </row>
    <row r="12" spans="1:12">
      <c r="A12" s="4">
        <v>9</v>
      </c>
      <c r="B12" s="1">
        <f ca="1">IF(A12=sheet4!$H$8,sheet4!$K$10,B12)</f>
        <v>813061876.5783354</v>
      </c>
      <c r="C12" s="1">
        <f t="shared" ca="1" si="0"/>
        <v>813059874.64698875</v>
      </c>
      <c r="D12" s="5">
        <f t="shared" ca="1" si="1"/>
        <v>0.61803340778976279</v>
      </c>
      <c r="H12" s="110">
        <v>1.4</v>
      </c>
      <c r="I12" s="5">
        <f t="shared" ca="1" si="2"/>
        <v>0.17507226281951022</v>
      </c>
    </row>
    <row r="13" spans="1:12">
      <c r="A13" s="4">
        <v>10</v>
      </c>
      <c r="B13" s="1">
        <f ca="1">IF(A13=sheet4!$H$8,sheet4!$K$10,B13)</f>
        <v>502499875.0641495</v>
      </c>
      <c r="C13" s="1">
        <f t="shared" ca="1" si="0"/>
        <v>502497873.13280284</v>
      </c>
      <c r="D13" s="5">
        <f t="shared" ca="1" si="1"/>
        <v>0.6180330487357717</v>
      </c>
      <c r="H13" s="110">
        <v>1.45</v>
      </c>
      <c r="I13" s="5">
        <f t="shared" ca="1" si="2"/>
        <v>0.19468829162508827</v>
      </c>
    </row>
    <row r="14" spans="1:12">
      <c r="A14" s="4">
        <v>11</v>
      </c>
      <c r="B14" s="1">
        <f ca="1">IF(A14=sheet4!$H$8,sheet4!$K$10,B14)</f>
        <v>310562002.51418608</v>
      </c>
      <c r="C14" s="1">
        <f t="shared" ca="1" si="0"/>
        <v>310560000.58283943</v>
      </c>
      <c r="D14" s="5">
        <f t="shared" ca="1" si="1"/>
        <v>0.61803246777277998</v>
      </c>
      <c r="H14" s="110">
        <v>1.5</v>
      </c>
      <c r="I14" s="5">
        <f t="shared" ca="1" si="2"/>
        <v>0.21383786916619701</v>
      </c>
    </row>
    <row r="15" spans="1:12">
      <c r="A15" s="4">
        <v>12</v>
      </c>
      <c r="B15" s="1">
        <f ca="1">IF(A15=sheet4!$H$8,sheet4!$K$10,B15)</f>
        <v>191937873.54996338</v>
      </c>
      <c r="C15" s="1">
        <f t="shared" ca="1" si="0"/>
        <v>191935871.61861673</v>
      </c>
      <c r="D15" s="5">
        <f t="shared" ca="1" si="1"/>
        <v>0.61803152775117076</v>
      </c>
      <c r="H15" s="110">
        <v>1.55</v>
      </c>
      <c r="I15" s="5">
        <f t="shared" ca="1" si="2"/>
        <v>0.23253208722825286</v>
      </c>
    </row>
    <row r="16" spans="1:12">
      <c r="A16" s="4">
        <v>13</v>
      </c>
      <c r="B16" s="1">
        <f ca="1">IF(A16=sheet4!$H$8,sheet4!$K$10,B16)</f>
        <v>118624129.96422279</v>
      </c>
      <c r="C16" s="1">
        <f t="shared" ca="1" si="0"/>
        <v>118622128.03287613</v>
      </c>
      <c r="D16" s="5">
        <f t="shared" ca="1" si="1"/>
        <v>0.61803000675445618</v>
      </c>
      <c r="H16" s="110">
        <v>1.6</v>
      </c>
      <c r="I16" s="5">
        <f t="shared" ca="1" si="2"/>
        <v>0.25078177384412614</v>
      </c>
    </row>
    <row r="17" spans="1:10">
      <c r="A17" s="4">
        <v>14</v>
      </c>
      <c r="B17" s="1">
        <f ca="1">IF(A17=sheet4!$H$8,sheet4!$K$10,B17)</f>
        <v>73313744.585740581</v>
      </c>
      <c r="C17" s="1">
        <f t="shared" ca="1" si="0"/>
        <v>73311742.654393926</v>
      </c>
      <c r="D17" s="5">
        <f t="shared" ca="1" si="1"/>
        <v>0.61802754570442009</v>
      </c>
      <c r="H17" s="110">
        <v>1.65</v>
      </c>
      <c r="I17" s="5">
        <f t="shared" ca="1" si="2"/>
        <v>0.26859749956595114</v>
      </c>
    </row>
    <row r="18" spans="1:10">
      <c r="A18" s="4">
        <v>15</v>
      </c>
      <c r="B18" s="1">
        <f ca="1">IF(A18=sheet4!$H$8,sheet4!$K$10,B18)</f>
        <v>45310386.378482252</v>
      </c>
      <c r="C18" s="1">
        <f t="shared" ca="1" si="0"/>
        <v>45308384.44713559</v>
      </c>
      <c r="D18" s="5">
        <f t="shared" ca="1" si="1"/>
        <v>0.61802356357464161</v>
      </c>
      <c r="H18" s="110">
        <v>1.7</v>
      </c>
      <c r="I18" s="5">
        <f t="shared" ca="1" si="2"/>
        <v>0.28598958358778698</v>
      </c>
    </row>
    <row r="19" spans="1:10">
      <c r="A19" s="4">
        <v>16</v>
      </c>
      <c r="B19" s="1">
        <f ca="1">IF(A19=sheet4!$H$8,sheet4!$K$10,B19)</f>
        <v>28003359.207258314</v>
      </c>
      <c r="C19" s="1">
        <f t="shared" ca="1" si="0"/>
        <v>28001357.275911652</v>
      </c>
      <c r="D19" s="5">
        <f t="shared" ca="1" si="1"/>
        <v>0.61801712017745325</v>
      </c>
      <c r="H19" s="110">
        <v>1.75</v>
      </c>
      <c r="I19" s="5">
        <f t="shared" ca="1" si="2"/>
        <v>0.30296809972265926</v>
      </c>
    </row>
    <row r="20" spans="1:10">
      <c r="A20" s="4">
        <v>17</v>
      </c>
      <c r="B20" s="1">
        <f ca="1">IF(A20=sheet4!$H$8,sheet4!$K$10,B20)</f>
        <v>17307028.171223953</v>
      </c>
      <c r="C20" s="1">
        <f t="shared" ca="1" si="0"/>
        <v>17305026.239877291</v>
      </c>
      <c r="D20" s="5">
        <f t="shared" ca="1" si="1"/>
        <v>0.61800669408136344</v>
      </c>
      <c r="H20" s="110">
        <v>1.8</v>
      </c>
      <c r="I20" s="5">
        <f t="shared" ca="1" si="2"/>
        <v>0.31954288223752508</v>
      </c>
    </row>
    <row r="21" spans="1:10">
      <c r="A21" s="4">
        <v>18</v>
      </c>
      <c r="B21" s="1">
        <f ca="1">IF(A21=sheet4!$H$8,sheet4!$K$10,B21)</f>
        <v>10696332.036034355</v>
      </c>
      <c r="C21" s="1">
        <f t="shared" ca="1" si="0"/>
        <v>10694330.104687693</v>
      </c>
      <c r="D21" s="5">
        <f t="shared" ca="1" si="1"/>
        <v>0.61798982309798134</v>
      </c>
      <c r="H21" s="110">
        <v>1.85</v>
      </c>
      <c r="I21" s="5">
        <f t="shared" ca="1" si="2"/>
        <v>0.33572353154943801</v>
      </c>
    </row>
    <row r="22" spans="1:10">
      <c r="A22" s="4">
        <v>19</v>
      </c>
      <c r="B22" s="1">
        <f ca="1">IF(A22=sheet4!$H$8,sheet4!$K$10,B22)</f>
        <v>6610697.1351896049</v>
      </c>
      <c r="C22" s="1">
        <f t="shared" ca="1" si="0"/>
        <v>6608695.2038429435</v>
      </c>
      <c r="D22" s="5">
        <f t="shared" ca="1" si="1"/>
        <v>0.61796252211684821</v>
      </c>
      <c r="H22" s="110">
        <v>1.9</v>
      </c>
      <c r="I22" s="5">
        <f t="shared" ca="1" si="2"/>
        <v>0.35151941978629958</v>
      </c>
    </row>
    <row r="23" spans="1:10" ht="13.15" thickBot="1">
      <c r="A23" s="55">
        <v>20</v>
      </c>
      <c r="B23" s="6">
        <f ca="1">IF(A23=sheet4!$H$8,sheet4!$K$10,B23)</f>
        <v>4085635.9008447481</v>
      </c>
      <c r="C23" s="6">
        <f t="shared" ca="1" si="0"/>
        <v>4083633.9694980863</v>
      </c>
      <c r="D23" s="7">
        <f t="shared" ca="1" si="1"/>
        <v>0.61791833993546275</v>
      </c>
      <c r="H23" s="110">
        <v>1.95</v>
      </c>
      <c r="I23" s="5">
        <f t="shared" ca="1" si="2"/>
        <v>0.36693969621536893</v>
      </c>
    </row>
    <row r="24" spans="1:10" ht="13.5" thickBot="1">
      <c r="H24" s="111">
        <v>2</v>
      </c>
      <c r="I24" s="7">
        <f t="shared" ca="1" si="2"/>
        <v>0.38199329254266751</v>
      </c>
    </row>
    <row r="25" spans="1:10" ht="13.15" thickBot="1">
      <c r="D25">
        <v>0.61791833993546297</v>
      </c>
    </row>
    <row r="26" spans="1:10" ht="12.75" customHeight="1">
      <c r="G26" s="145" t="s">
        <v>89</v>
      </c>
      <c r="H26" s="146"/>
      <c r="I26" s="146"/>
      <c r="J26" s="147"/>
    </row>
    <row r="27" spans="1:10" ht="12.75" customHeight="1">
      <c r="G27" s="148"/>
      <c r="H27" s="149"/>
      <c r="I27" s="149"/>
      <c r="J27" s="150"/>
    </row>
    <row r="28" spans="1:10" ht="12.75" customHeight="1">
      <c r="G28" s="148"/>
      <c r="H28" s="149"/>
      <c r="I28" s="149"/>
      <c r="J28" s="150"/>
    </row>
    <row r="29" spans="1:10" ht="12.75" customHeight="1">
      <c r="G29" s="148"/>
      <c r="H29" s="149"/>
      <c r="I29" s="149"/>
      <c r="J29" s="150"/>
    </row>
    <row r="30" spans="1:10" ht="12.75" customHeight="1">
      <c r="G30" s="148"/>
      <c r="H30" s="149"/>
      <c r="I30" s="149"/>
      <c r="J30" s="150"/>
    </row>
    <row r="31" spans="1:10" ht="13.5" customHeight="1">
      <c r="G31" s="148"/>
      <c r="H31" s="149"/>
      <c r="I31" s="149"/>
      <c r="J31" s="150"/>
    </row>
    <row r="32" spans="1:10">
      <c r="G32" s="148"/>
      <c r="H32" s="149"/>
      <c r="I32" s="149"/>
      <c r="J32" s="150"/>
    </row>
    <row r="33" spans="7:10">
      <c r="G33" s="148"/>
      <c r="H33" s="149"/>
      <c r="I33" s="149"/>
      <c r="J33" s="150"/>
    </row>
    <row r="34" spans="7:10">
      <c r="G34" s="148"/>
      <c r="H34" s="149"/>
      <c r="I34" s="149"/>
      <c r="J34" s="150"/>
    </row>
    <row r="35" spans="7:10" ht="13.15" thickBot="1">
      <c r="G35" s="151"/>
      <c r="H35" s="152"/>
      <c r="I35" s="152"/>
      <c r="J35" s="153"/>
    </row>
  </sheetData>
  <mergeCells count="3">
    <mergeCell ref="A1:D2"/>
    <mergeCell ref="E1:J2"/>
    <mergeCell ref="G26:J35"/>
  </mergeCells>
  <phoneticPr fontId="2" type="noConversion"/>
  <conditionalFormatting sqref="H4:H24 I5:I24">
    <cfRule type="expression" dxfId="8" priority="1" stopIfTrue="1">
      <formula>$J$4=$I4</formula>
    </cfRule>
  </conditionalFormatting>
  <conditionalFormatting sqref="I4">
    <cfRule type="expression" dxfId="7" priority="2" stopIfTrue="1">
      <formula>$J$4=$I4</formula>
    </cfRule>
  </conditionalFormatting>
  <pageMargins left="0.75" right="0.75" top="1" bottom="1" header="0.5" footer="0.5"/>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073" r:id="rId3" name="List Box 25">
              <controlPr defaultSize="0" autoLine="0" autoPict="0">
                <anchor moveWithCells="1">
                  <from>
                    <xdr:col>4</xdr:col>
                    <xdr:colOff>61913</xdr:colOff>
                    <xdr:row>5</xdr:row>
                    <xdr:rowOff>0</xdr:rowOff>
                  </from>
                  <to>
                    <xdr:col>5</xdr:col>
                    <xdr:colOff>166688</xdr:colOff>
                    <xdr:row>21</xdr:row>
                    <xdr:rowOff>52388</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sheet____4"/>
  <dimension ref="A1:AC117"/>
  <sheetViews>
    <sheetView tabSelected="1" workbookViewId="0">
      <selection activeCell="H31" sqref="H31"/>
    </sheetView>
  </sheetViews>
  <sheetFormatPr defaultColWidth="9.1328125" defaultRowHeight="12.75"/>
  <cols>
    <col min="1" max="1" width="5.796875" style="13" customWidth="1"/>
    <col min="2" max="3" width="8.46484375" style="13" customWidth="1"/>
    <col min="4" max="4" width="7" style="13" customWidth="1"/>
    <col min="5" max="5" width="6.6640625" style="13" customWidth="1"/>
    <col min="6" max="6" width="8.46484375" style="13" customWidth="1"/>
    <col min="7" max="7" width="11.796875" style="13" customWidth="1"/>
    <col min="8" max="8" width="12.6640625" style="13" customWidth="1"/>
    <col min="9" max="9" width="13.46484375" style="13" customWidth="1"/>
    <col min="10" max="10" width="11.46484375" style="13" customWidth="1"/>
    <col min="11" max="11" width="12.33203125" style="13" customWidth="1"/>
    <col min="12" max="12" width="12" style="13" customWidth="1"/>
    <col min="13" max="13" width="9.33203125" style="13" customWidth="1"/>
    <col min="14" max="14" width="9.1328125" style="13"/>
    <col min="15" max="15" width="20.1328125" style="13" customWidth="1"/>
    <col min="16" max="16384" width="9.1328125" style="13"/>
  </cols>
  <sheetData>
    <row r="1" spans="1:29" ht="17.25">
      <c r="A1" s="27" t="s">
        <v>14</v>
      </c>
      <c r="B1" s="12"/>
      <c r="C1" s="12"/>
      <c r="D1" s="12"/>
      <c r="E1" s="12"/>
      <c r="F1" s="12"/>
      <c r="G1" s="12"/>
      <c r="H1" s="12"/>
      <c r="I1" s="12"/>
      <c r="J1" s="12"/>
      <c r="K1" s="12"/>
      <c r="L1" s="9"/>
      <c r="M1" s="9"/>
      <c r="N1" s="9"/>
    </row>
    <row r="2" spans="1:29">
      <c r="A2" s="12" t="s">
        <v>6</v>
      </c>
      <c r="B2" s="12"/>
      <c r="C2" s="12"/>
      <c r="D2" s="12"/>
      <c r="E2" s="12"/>
      <c r="F2" s="12"/>
      <c r="G2" s="12"/>
      <c r="H2" s="12"/>
      <c r="I2" s="12"/>
      <c r="J2" s="12"/>
      <c r="K2" s="12"/>
      <c r="L2" s="9"/>
      <c r="M2" s="9"/>
      <c r="N2" s="9"/>
    </row>
    <row r="3" spans="1:29">
      <c r="A3" s="12" t="s">
        <v>7</v>
      </c>
      <c r="B3" s="12"/>
      <c r="C3" s="12"/>
      <c r="D3" s="12"/>
      <c r="E3" s="12"/>
      <c r="F3" s="12"/>
      <c r="G3" s="12"/>
      <c r="H3" s="12"/>
      <c r="I3" s="12"/>
      <c r="J3" s="12"/>
      <c r="K3" s="12"/>
      <c r="L3" s="9"/>
      <c r="M3" s="9"/>
      <c r="N3" s="9"/>
    </row>
    <row r="4" spans="1:29" ht="25.5" customHeight="1">
      <c r="A4" s="13">
        <v>1</v>
      </c>
      <c r="B4" s="13">
        <v>2</v>
      </c>
      <c r="C4" s="13">
        <v>3</v>
      </c>
      <c r="D4" s="13">
        <v>4</v>
      </c>
      <c r="E4" s="13">
        <v>5</v>
      </c>
      <c r="F4" s="13">
        <v>6</v>
      </c>
      <c r="G4" s="13">
        <v>7</v>
      </c>
      <c r="H4" s="13">
        <v>8</v>
      </c>
      <c r="I4" s="13">
        <v>9</v>
      </c>
      <c r="J4" s="13">
        <v>10</v>
      </c>
      <c r="K4" s="13">
        <v>11</v>
      </c>
      <c r="L4" s="13">
        <v>12</v>
      </c>
      <c r="M4" s="13">
        <v>13</v>
      </c>
      <c r="N4" s="13">
        <v>14</v>
      </c>
      <c r="O4" s="13">
        <v>15</v>
      </c>
    </row>
    <row r="5" spans="1:29" ht="43.5" customHeight="1" thickBot="1">
      <c r="G5" s="12" t="s">
        <v>10</v>
      </c>
      <c r="H5" s="12">
        <v>0</v>
      </c>
      <c r="I5" s="65" t="s">
        <v>13</v>
      </c>
      <c r="J5" s="66" t="s">
        <v>23</v>
      </c>
      <c r="K5" s="66" t="s">
        <v>24</v>
      </c>
      <c r="L5" s="67" t="s">
        <v>12</v>
      </c>
    </row>
    <row r="6" spans="1:29" ht="17.25" customHeight="1" thickBot="1">
      <c r="A6" s="28" t="s">
        <v>15</v>
      </c>
      <c r="B6" s="14"/>
      <c r="C6" s="14"/>
      <c r="D6" s="14"/>
      <c r="E6" s="14"/>
      <c r="F6" s="14"/>
      <c r="G6" s="14" t="s">
        <v>11</v>
      </c>
      <c r="H6" s="14">
        <v>0</v>
      </c>
      <c r="I6" s="24">
        <f>INDEX(O7:O19,P6)</f>
        <v>0.01</v>
      </c>
      <c r="J6" s="69">
        <v>0.6180339887498949</v>
      </c>
      <c r="K6" s="70">
        <v>0.38196601125010521</v>
      </c>
      <c r="L6" s="71">
        <f>sheet1!B5/(1+sheet1!C5)^(2*sheet1!E5)</f>
        <v>8.4053152720951695E+49</v>
      </c>
      <c r="M6" s="68"/>
      <c r="N6" s="11"/>
      <c r="O6" s="84" t="s">
        <v>8</v>
      </c>
      <c r="P6" s="13">
        <v>2</v>
      </c>
    </row>
    <row r="7" spans="1:29" ht="16.5" customHeight="1">
      <c r="A7" s="154" t="s">
        <v>25</v>
      </c>
      <c r="B7" s="155"/>
      <c r="C7" s="155"/>
      <c r="D7" s="155"/>
      <c r="E7" s="155"/>
      <c r="F7" s="155"/>
      <c r="G7" s="156"/>
      <c r="H7" s="15">
        <v>1</v>
      </c>
      <c r="I7" s="23">
        <f>H7+sheet5!$H$12</f>
        <v>100000000001</v>
      </c>
      <c r="J7" s="25"/>
      <c r="K7" s="25"/>
      <c r="L7" s="16"/>
      <c r="M7" s="16"/>
      <c r="N7" s="10"/>
      <c r="O7" s="85">
        <v>0.1</v>
      </c>
    </row>
    <row r="8" spans="1:29">
      <c r="A8" s="157" t="s">
        <v>26</v>
      </c>
      <c r="B8" s="158"/>
      <c r="C8" s="158"/>
      <c r="D8" s="158"/>
      <c r="E8" s="158"/>
      <c r="F8" s="158"/>
      <c r="G8" s="159"/>
      <c r="H8" s="33">
        <f ca="1">IF(H6=1,0,H8+1)</f>
        <v>4700</v>
      </c>
      <c r="I8" s="17">
        <v>1000</v>
      </c>
      <c r="J8" s="17"/>
      <c r="K8" s="17"/>
      <c r="L8" s="17"/>
      <c r="M8" s="19"/>
      <c r="N8" s="18"/>
      <c r="O8" s="85">
        <v>0.01</v>
      </c>
    </row>
    <row r="9" spans="1:29" ht="13.15">
      <c r="A9" s="160" t="s">
        <v>34</v>
      </c>
      <c r="B9" s="161"/>
      <c r="C9" s="161"/>
      <c r="D9" s="161"/>
      <c r="E9" s="161"/>
      <c r="F9" s="161"/>
      <c r="G9" s="162"/>
      <c r="H9" s="29" t="s">
        <v>16</v>
      </c>
      <c r="I9" s="30" t="s">
        <v>17</v>
      </c>
      <c r="J9" s="30" t="s">
        <v>18</v>
      </c>
      <c r="K9" s="30" t="s">
        <v>19</v>
      </c>
      <c r="L9" s="30" t="s">
        <v>20</v>
      </c>
      <c r="M9" s="30" t="s">
        <v>21</v>
      </c>
      <c r="N9" s="31" t="s">
        <v>22</v>
      </c>
      <c r="O9" s="85">
        <v>1.0000000000000002E-3</v>
      </c>
    </row>
    <row r="10" spans="1:29" ht="14.25">
      <c r="A10" s="157" t="s">
        <v>27</v>
      </c>
      <c r="B10" s="158"/>
      <c r="C10" s="158"/>
      <c r="D10" s="158"/>
      <c r="E10" s="158"/>
      <c r="F10" s="158"/>
      <c r="G10" s="159"/>
      <c r="H10" s="33">
        <f ca="1">IF($H$8=0,H7,H12)</f>
        <v>2001.9313811430361</v>
      </c>
      <c r="I10" s="34">
        <f ca="1">IF($H$8=0,I7,I12)</f>
        <v>2001.9313811430363</v>
      </c>
      <c r="J10" s="34">
        <f ca="1">IF($H$8=0,$H$10+$K$6*($I$10-$H$10),J12)</f>
        <v>2001.9313811430361</v>
      </c>
      <c r="K10" s="34">
        <f ca="1">IF($H$8=0,$H$10+J6*($I$10-$H$10),K12)</f>
        <v>2001.9313811430361</v>
      </c>
      <c r="L10" s="35">
        <f ca="1">I10-H10</f>
        <v>0</v>
      </c>
      <c r="M10" s="19">
        <f ca="1">J10^2-SIN(J10)</f>
        <v>4007729.9267716613</v>
      </c>
      <c r="N10" s="18">
        <f ca="1">K10^2-SIN(K10)</f>
        <v>4007729.9267716613</v>
      </c>
      <c r="O10" s="85">
        <v>1.0000000000000003E-4</v>
      </c>
      <c r="P10" s="11"/>
      <c r="Q10" s="11"/>
      <c r="R10" s="11"/>
      <c r="S10" s="11"/>
      <c r="T10" s="11"/>
      <c r="U10" s="11"/>
      <c r="V10" s="11"/>
      <c r="W10" s="11"/>
      <c r="X10" s="11"/>
      <c r="Y10" s="11"/>
      <c r="Z10" s="11"/>
      <c r="AA10" s="11"/>
      <c r="AB10" s="11"/>
      <c r="AC10" s="11"/>
    </row>
    <row r="11" spans="1:29">
      <c r="A11" s="157" t="s">
        <v>28</v>
      </c>
      <c r="B11" s="158"/>
      <c r="C11" s="158"/>
      <c r="D11" s="158"/>
      <c r="E11" s="158"/>
      <c r="F11" s="158"/>
      <c r="G11" s="159"/>
      <c r="H11" s="63">
        <f ca="1">$L$6*(H10-sheet1!$D$5)/(H10^(2*sheet1!$E$5))</f>
        <v>1.5909747630962288E+35</v>
      </c>
      <c r="I11" s="64">
        <f ca="1">$L$6*(I10-sheet1!$D$5)/(I10^(2*sheet1!$E$5))</f>
        <v>1.5909747630962183E+35</v>
      </c>
      <c r="J11" s="64">
        <f ca="1">$L$6*(J10-sheet1!$D$5)/(J10^(2*sheet1!$E$5))</f>
        <v>1.5909747630962288E+35</v>
      </c>
      <c r="K11" s="64">
        <f ca="1">$L$6*(K10-sheet1!$D$5)/(K10^(2*sheet1!$E$5))</f>
        <v>1.5909747630962288E+35</v>
      </c>
      <c r="L11" s="19"/>
      <c r="M11" s="17"/>
      <c r="N11" s="18"/>
      <c r="O11" s="85">
        <v>1.0000000000000006E-5</v>
      </c>
      <c r="P11" s="11"/>
      <c r="Q11" s="11"/>
      <c r="R11" s="11"/>
      <c r="S11" s="11"/>
      <c r="T11" s="11"/>
      <c r="U11" s="11"/>
      <c r="V11" s="11"/>
      <c r="W11" s="11"/>
      <c r="X11" s="11"/>
      <c r="Y11" s="11"/>
      <c r="Z11" s="11"/>
      <c r="AA11" s="11"/>
      <c r="AB11" s="11"/>
      <c r="AC11" s="11"/>
    </row>
    <row r="12" spans="1:29" ht="14.25">
      <c r="A12" s="157" t="s">
        <v>29</v>
      </c>
      <c r="B12" s="158"/>
      <c r="C12" s="158"/>
      <c r="D12" s="158"/>
      <c r="E12" s="158"/>
      <c r="F12" s="158"/>
      <c r="G12" s="159"/>
      <c r="H12" s="33">
        <f ca="1">IF($J$11&gt;$K$11,H10,J10)</f>
        <v>2001.9313811430361</v>
      </c>
      <c r="I12" s="34">
        <f ca="1">IF($J$11&gt;$K$11,K10,I10)</f>
        <v>2001.9313811430363</v>
      </c>
      <c r="J12" s="34">
        <f ca="1">IF($J$11&gt;$K$11,$H$12+$K$6*($I$12-$H$12),K10)</f>
        <v>2001.9313811430361</v>
      </c>
      <c r="K12" s="34">
        <f ca="1">IF($J$11&gt;$K$11,J10,$H$12+J6*($I$12-$H$12))</f>
        <v>2001.9313811430363</v>
      </c>
      <c r="L12" s="35">
        <f ca="1">I12-H12</f>
        <v>0</v>
      </c>
      <c r="M12" s="19">
        <f ca="1">J12^2-SIN(J12)</f>
        <v>4007729.9267716613</v>
      </c>
      <c r="N12" s="18">
        <f ca="1">K12^2-SIN(K12)</f>
        <v>4007729.9267716622</v>
      </c>
      <c r="O12" s="85">
        <v>1.0000000000000006E-6</v>
      </c>
      <c r="P12" s="11"/>
      <c r="Q12" s="11"/>
      <c r="R12" s="11"/>
      <c r="S12" s="11"/>
      <c r="T12" s="11"/>
      <c r="U12" s="11"/>
      <c r="V12" s="11"/>
      <c r="W12" s="11"/>
      <c r="X12" s="11"/>
      <c r="Y12" s="11"/>
      <c r="Z12" s="11"/>
      <c r="AA12" s="11"/>
      <c r="AB12" s="11"/>
      <c r="AC12" s="11"/>
    </row>
    <row r="13" spans="1:29" ht="13.15" thickBot="1">
      <c r="A13" s="169" t="s">
        <v>30</v>
      </c>
      <c r="B13" s="170"/>
      <c r="C13" s="170"/>
      <c r="D13" s="170"/>
      <c r="E13" s="170"/>
      <c r="F13" s="170"/>
      <c r="G13" s="171"/>
      <c r="H13" s="36" t="str">
        <f ca="1">IF(H6=1,"Программа в исходном состоянии",IF(ABS((I12-H12)/H12)&lt;I6,"Решение найдено с желаемой точностью!","Продолжайте итерации, щелкая по кнопке &lt;F9&gt;"))</f>
        <v>Решение найдено с желаемой точностью!</v>
      </c>
      <c r="I13" s="17"/>
      <c r="J13" s="17"/>
      <c r="K13" s="17">
        <f ca="1">IF(ABS((I12-H12)/H12)&lt;I6, 1, 0)</f>
        <v>1</v>
      </c>
      <c r="L13" s="19"/>
      <c r="M13" s="19"/>
      <c r="N13" s="18"/>
      <c r="O13" s="85">
        <v>1.0000000000000006E-7</v>
      </c>
      <c r="P13" s="11"/>
      <c r="Q13" s="11"/>
      <c r="R13" s="11"/>
      <c r="S13" s="11"/>
      <c r="T13" s="11"/>
      <c r="U13" s="11"/>
      <c r="V13" s="11"/>
      <c r="W13" s="11"/>
      <c r="X13" s="11"/>
      <c r="Y13" s="11"/>
      <c r="Z13" s="11"/>
      <c r="AA13" s="11"/>
      <c r="AB13" s="11"/>
      <c r="AC13" s="11"/>
    </row>
    <row r="14" spans="1:29">
      <c r="A14" s="172" t="s">
        <v>9</v>
      </c>
      <c r="B14" s="173"/>
      <c r="C14" s="173"/>
      <c r="D14" s="173"/>
      <c r="E14" s="173"/>
      <c r="F14" s="173"/>
      <c r="G14" s="174"/>
      <c r="H14" s="87">
        <f ca="1">IF($H$8=0,$H$10,IF(ABS((I12-H12)/H12)&lt;I6,H14,IF(H11&lt;I11,H10,I10)))</f>
        <v>1979.7356034743502</v>
      </c>
      <c r="I14" s="91">
        <f>sheet1!I5</f>
        <v>2001.9313466616909</v>
      </c>
      <c r="J14" s="9"/>
      <c r="K14" s="9"/>
      <c r="L14" s="19"/>
      <c r="M14" s="19"/>
      <c r="N14" s="18"/>
      <c r="O14" s="85">
        <v>1.0000000000000008E-8</v>
      </c>
      <c r="P14" s="11"/>
      <c r="Q14" s="11"/>
      <c r="R14" s="11"/>
      <c r="S14" s="11"/>
      <c r="T14" s="11"/>
      <c r="U14" s="11"/>
      <c r="V14" s="11"/>
      <c r="W14" s="11"/>
      <c r="X14" s="11"/>
      <c r="Y14" s="11"/>
      <c r="Z14" s="11"/>
      <c r="AA14" s="11"/>
      <c r="AB14" s="11"/>
      <c r="AC14" s="11"/>
    </row>
    <row r="15" spans="1:29">
      <c r="A15" s="166" t="s">
        <v>31</v>
      </c>
      <c r="B15" s="167"/>
      <c r="C15" s="167"/>
      <c r="D15" s="167"/>
      <c r="E15" s="167"/>
      <c r="F15" s="167"/>
      <c r="G15" s="168"/>
      <c r="H15" s="88">
        <f ca="1">sheet1!B5/(H14+H14*sheet1!C5)^(2*sheet1!E5)</f>
        <v>4.4162916116747347E+32</v>
      </c>
      <c r="I15" s="26"/>
      <c r="J15" s="9"/>
      <c r="K15" s="9"/>
      <c r="L15" s="19"/>
      <c r="M15" s="19"/>
      <c r="N15" s="18"/>
      <c r="O15" s="85">
        <v>1.0000000000000009E-9</v>
      </c>
      <c r="P15" s="11"/>
      <c r="Q15" s="11"/>
      <c r="R15" s="11"/>
      <c r="S15" s="11"/>
      <c r="T15" s="11"/>
      <c r="U15" s="11"/>
      <c r="V15" s="11"/>
      <c r="W15" s="11"/>
      <c r="X15" s="11"/>
      <c r="Y15" s="11"/>
      <c r="Z15" s="11"/>
      <c r="AA15" s="11"/>
      <c r="AB15" s="11"/>
      <c r="AC15" s="11"/>
    </row>
    <row r="16" spans="1:29">
      <c r="A16" s="166" t="s">
        <v>3</v>
      </c>
      <c r="B16" s="167"/>
      <c r="C16" s="167"/>
      <c r="D16" s="167"/>
      <c r="E16" s="167"/>
      <c r="F16" s="167"/>
      <c r="G16" s="168"/>
      <c r="H16" s="87">
        <f ca="1">IF($H$8=0,$H$11,IF(ABS((I12-H12)/H12)&lt;I6,H16,IF(H11&lt;I11,H11,I11)))</f>
        <v>1.5886973280445074E+35</v>
      </c>
      <c r="I16" s="20"/>
      <c r="J16" s="17"/>
      <c r="K16" s="17"/>
      <c r="L16" s="19"/>
      <c r="M16" s="19"/>
      <c r="N16" s="18"/>
      <c r="O16" s="85">
        <v>1.0000000000000009E-10</v>
      </c>
      <c r="P16" s="11"/>
      <c r="Q16" s="11"/>
      <c r="R16" s="11"/>
      <c r="S16" s="11"/>
      <c r="T16" s="11"/>
      <c r="U16" s="11"/>
      <c r="V16" s="11"/>
      <c r="W16" s="11"/>
      <c r="X16" s="11"/>
      <c r="Y16" s="11"/>
      <c r="Z16" s="11"/>
      <c r="AA16" s="11"/>
      <c r="AB16" s="11"/>
      <c r="AC16" s="11"/>
    </row>
    <row r="17" spans="1:29">
      <c r="A17" s="166" t="s">
        <v>5</v>
      </c>
      <c r="B17" s="167"/>
      <c r="C17" s="167"/>
      <c r="D17" s="167"/>
      <c r="E17" s="167"/>
      <c r="F17" s="167"/>
      <c r="G17" s="168"/>
      <c r="H17" s="88">
        <f ca="1">H15*sheet1!D5</f>
        <v>7.1543924109130705E+35</v>
      </c>
      <c r="I17" s="20"/>
      <c r="J17" s="17"/>
      <c r="K17" s="17"/>
      <c r="L17" s="19"/>
      <c r="M17" s="19"/>
      <c r="N17" s="18"/>
      <c r="O17" s="85">
        <v>1.0000000000000011E-11</v>
      </c>
      <c r="P17" s="11"/>
      <c r="Q17" s="11"/>
      <c r="R17" s="11"/>
      <c r="S17" s="11"/>
      <c r="T17" s="11"/>
      <c r="U17" s="11"/>
      <c r="V17" s="11"/>
      <c r="W17" s="11"/>
      <c r="X17" s="11"/>
      <c r="Y17" s="11"/>
      <c r="Z17" s="11"/>
      <c r="AA17" s="11"/>
      <c r="AB17" s="11"/>
      <c r="AC17" s="11"/>
    </row>
    <row r="18" spans="1:29">
      <c r="A18" s="166" t="s">
        <v>32</v>
      </c>
      <c r="B18" s="167"/>
      <c r="C18" s="167"/>
      <c r="D18" s="167"/>
      <c r="E18" s="167"/>
      <c r="F18" s="167"/>
      <c r="G18" s="168"/>
      <c r="H18" s="89">
        <f ca="1">IF($H$8=0,0,IF(ABS((I12-H12)/H12)&lt;I6,H18,H8))</f>
        <v>45</v>
      </c>
      <c r="I18" s="17"/>
      <c r="J18" s="17"/>
      <c r="K18" s="17"/>
      <c r="L18" s="19"/>
      <c r="M18" s="19"/>
      <c r="N18" s="18"/>
      <c r="O18" s="85">
        <v>1.0000000000000012E-12</v>
      </c>
      <c r="P18" s="11"/>
      <c r="Q18" s="11"/>
      <c r="R18" s="11"/>
      <c r="S18" s="11"/>
      <c r="T18" s="11"/>
      <c r="U18" s="11"/>
      <c r="V18" s="11"/>
      <c r="W18" s="11"/>
      <c r="X18" s="11"/>
      <c r="Y18" s="11"/>
      <c r="Z18" s="11"/>
      <c r="AA18" s="11"/>
      <c r="AB18" s="11"/>
      <c r="AC18" s="11"/>
    </row>
    <row r="19" spans="1:29" ht="14.65" thickBot="1">
      <c r="A19" s="163" t="s">
        <v>33</v>
      </c>
      <c r="B19" s="164"/>
      <c r="C19" s="164"/>
      <c r="D19" s="164"/>
      <c r="E19" s="164"/>
      <c r="F19" s="164"/>
      <c r="G19" s="165"/>
      <c r="H19" s="90">
        <f ca="1">IF(ABS((I12-H12)/H12)&lt;I6,H19,I12-H12)</f>
        <v>24.353901685728488</v>
      </c>
      <c r="I19" s="21"/>
      <c r="J19" s="21"/>
      <c r="K19" s="21"/>
      <c r="L19" s="21"/>
      <c r="M19" s="21"/>
      <c r="N19" s="22"/>
      <c r="O19" s="86">
        <v>1.0000000000000014E-13</v>
      </c>
      <c r="P19" s="11"/>
      <c r="Q19" s="11"/>
      <c r="R19" s="11"/>
      <c r="S19" s="11"/>
      <c r="T19" s="11"/>
      <c r="U19" s="11"/>
      <c r="V19" s="11"/>
      <c r="W19" s="11"/>
      <c r="X19" s="11"/>
      <c r="Y19" s="11"/>
      <c r="Z19" s="11"/>
      <c r="AA19" s="11"/>
      <c r="AB19" s="11"/>
      <c r="AC19" s="11"/>
    </row>
    <row r="20" spans="1:29">
      <c r="P20" s="11"/>
      <c r="Q20" s="11"/>
      <c r="R20" s="11"/>
      <c r="S20" s="11"/>
      <c r="T20" s="11"/>
      <c r="U20" s="11"/>
      <c r="V20" s="11"/>
      <c r="W20" s="11"/>
      <c r="X20" s="11"/>
      <c r="Y20" s="11"/>
      <c r="Z20" s="11"/>
      <c r="AA20" s="11"/>
      <c r="AB20" s="11"/>
      <c r="AC20" s="11"/>
    </row>
    <row r="21" spans="1:29">
      <c r="B21" s="13">
        <v>1.21875</v>
      </c>
      <c r="C21" s="13">
        <v>0.125</v>
      </c>
      <c r="I21" s="13">
        <v>2001.9313466616909</v>
      </c>
      <c r="J21" s="136">
        <f ca="1">I14-H14</f>
        <v>22.195743187340668</v>
      </c>
      <c r="P21" s="11"/>
      <c r="Q21" s="11"/>
      <c r="R21" s="11"/>
      <c r="S21" s="11"/>
      <c r="T21" s="11"/>
      <c r="U21" s="11"/>
      <c r="V21" s="11"/>
      <c r="W21" s="11"/>
      <c r="X21" s="11"/>
      <c r="Y21" s="11"/>
      <c r="Z21" s="11"/>
      <c r="AA21" s="11"/>
      <c r="AB21" s="11"/>
      <c r="AC21" s="11"/>
    </row>
    <row r="22" spans="1:29">
      <c r="P22" s="11"/>
      <c r="Q22" s="11"/>
      <c r="R22" s="11"/>
      <c r="S22" s="11"/>
      <c r="T22" s="11"/>
      <c r="U22" s="11"/>
      <c r="V22" s="11"/>
      <c r="W22" s="11"/>
      <c r="X22" s="11"/>
    </row>
    <row r="23" spans="1:29">
      <c r="P23" s="11"/>
      <c r="Q23" s="11"/>
      <c r="R23" s="11"/>
      <c r="S23" s="11"/>
      <c r="T23" s="11"/>
      <c r="U23" s="11"/>
      <c r="V23" s="11"/>
      <c r="W23" s="11"/>
      <c r="X23" s="11"/>
    </row>
    <row r="24" spans="1:29">
      <c r="G24" s="136">
        <f ca="1">H14</f>
        <v>1979.7356034743502</v>
      </c>
      <c r="H24" s="136">
        <f ca="1">H15</f>
        <v>4.4162916116747347E+32</v>
      </c>
      <c r="I24" s="136">
        <f ca="1">H16</f>
        <v>1.5886973280445074E+35</v>
      </c>
      <c r="J24" s="136">
        <f ca="1">H17</f>
        <v>7.1543924109130705E+35</v>
      </c>
      <c r="K24" s="13">
        <f ca="1">H18</f>
        <v>45</v>
      </c>
      <c r="P24" s="11"/>
      <c r="Q24" s="11"/>
      <c r="R24" s="11"/>
      <c r="S24" s="11"/>
      <c r="T24" s="11"/>
      <c r="U24" s="11"/>
      <c r="V24" s="11"/>
      <c r="W24" s="11"/>
      <c r="X24" s="11"/>
    </row>
    <row r="25" spans="1:29">
      <c r="P25" s="11"/>
      <c r="Q25" s="11"/>
      <c r="R25" s="11"/>
      <c r="S25" s="11"/>
      <c r="T25" s="11"/>
      <c r="U25" s="11"/>
      <c r="V25" s="11"/>
      <c r="W25" s="11"/>
      <c r="X25" s="11"/>
    </row>
    <row r="26" spans="1:29">
      <c r="P26" s="11"/>
      <c r="Q26" s="11"/>
      <c r="R26" s="11"/>
      <c r="S26" s="11"/>
      <c r="T26" s="11"/>
      <c r="U26" s="11"/>
      <c r="V26" s="11"/>
      <c r="W26" s="11"/>
      <c r="X26" s="11"/>
    </row>
    <row r="27" spans="1:29">
      <c r="P27" s="11"/>
      <c r="Q27" s="11"/>
      <c r="R27" s="11"/>
      <c r="S27" s="11"/>
      <c r="T27" s="11"/>
      <c r="U27" s="11"/>
      <c r="V27" s="11"/>
      <c r="W27" s="11"/>
      <c r="X27" s="11"/>
    </row>
    <row r="28" spans="1:29">
      <c r="P28" s="11"/>
      <c r="Q28" s="11"/>
      <c r="R28" s="11"/>
      <c r="S28" s="11"/>
      <c r="T28" s="11"/>
      <c r="U28" s="11"/>
      <c r="V28" s="11"/>
      <c r="W28" s="11"/>
      <c r="X28" s="11"/>
    </row>
    <row r="29" spans="1:29">
      <c r="P29" s="11"/>
      <c r="Q29" s="11"/>
      <c r="R29" s="11"/>
      <c r="S29" s="11"/>
      <c r="T29" s="11"/>
      <c r="U29" s="11"/>
      <c r="V29" s="11"/>
      <c r="W29" s="11"/>
      <c r="X29" s="11"/>
    </row>
    <row r="30" spans="1:29">
      <c r="P30" s="11"/>
      <c r="Q30" s="11"/>
      <c r="R30" s="11"/>
      <c r="S30" s="11"/>
      <c r="T30" s="11"/>
      <c r="U30" s="11"/>
      <c r="V30" s="11"/>
      <c r="W30" s="11"/>
      <c r="X30" s="11"/>
    </row>
    <row r="31" spans="1:29">
      <c r="P31" s="11"/>
      <c r="Q31" s="11"/>
      <c r="R31" s="11"/>
      <c r="S31" s="11"/>
      <c r="T31" s="11"/>
      <c r="U31" s="11"/>
      <c r="V31" s="11"/>
      <c r="W31" s="11"/>
      <c r="X31" s="11"/>
    </row>
    <row r="32" spans="1:29">
      <c r="P32" s="11"/>
      <c r="Q32" s="11"/>
      <c r="R32" s="11"/>
      <c r="S32" s="11"/>
      <c r="T32" s="11"/>
      <c r="U32" s="11"/>
      <c r="V32" s="11"/>
      <c r="W32" s="11"/>
      <c r="X32" s="11"/>
    </row>
    <row r="33" spans="1:24">
      <c r="P33" s="11"/>
      <c r="Q33" s="11"/>
      <c r="R33" s="11"/>
      <c r="S33" s="11"/>
      <c r="T33" s="11"/>
      <c r="U33" s="11"/>
      <c r="V33" s="11"/>
      <c r="W33" s="11"/>
      <c r="X33" s="11"/>
    </row>
    <row r="34" spans="1:24">
      <c r="P34" s="11"/>
      <c r="Q34" s="11"/>
      <c r="R34" s="11"/>
      <c r="S34" s="11"/>
      <c r="T34" s="11"/>
      <c r="U34" s="11"/>
      <c r="V34" s="11"/>
      <c r="W34" s="11"/>
      <c r="X34" s="11"/>
    </row>
    <row r="35" spans="1:24">
      <c r="P35" s="11"/>
      <c r="Q35" s="11"/>
      <c r="R35" s="11"/>
      <c r="S35" s="11"/>
      <c r="T35" s="11"/>
      <c r="U35" s="11"/>
      <c r="V35" s="11"/>
      <c r="W35" s="11"/>
      <c r="X35" s="11"/>
    </row>
    <row r="36" spans="1:24">
      <c r="P36" s="11"/>
      <c r="Q36" s="11"/>
      <c r="R36" s="11"/>
      <c r="S36" s="11"/>
      <c r="T36" s="11"/>
      <c r="U36" s="11"/>
      <c r="V36" s="11"/>
      <c r="W36" s="11"/>
      <c r="X36" s="11"/>
    </row>
    <row r="37" spans="1:24">
      <c r="A37" s="11"/>
      <c r="B37" s="11"/>
      <c r="C37" s="11"/>
      <c r="D37" s="11"/>
      <c r="E37" s="11"/>
      <c r="F37" s="11"/>
      <c r="G37" s="11"/>
      <c r="H37" s="11"/>
      <c r="I37" s="11"/>
      <c r="J37" s="11"/>
      <c r="K37" s="11"/>
      <c r="L37" s="11"/>
      <c r="M37" s="11"/>
      <c r="N37" s="11"/>
      <c r="O37" s="11"/>
      <c r="P37" s="11"/>
      <c r="Q37" s="11"/>
      <c r="R37" s="11"/>
      <c r="S37" s="11"/>
      <c r="T37" s="11"/>
      <c r="U37" s="11"/>
      <c r="V37" s="11"/>
      <c r="W37" s="11"/>
      <c r="X37" s="11"/>
    </row>
    <row r="38" spans="1:24">
      <c r="A38" s="11"/>
      <c r="B38" s="11"/>
      <c r="C38" s="11"/>
      <c r="D38" s="11"/>
      <c r="E38" s="11"/>
      <c r="F38" s="11"/>
      <c r="G38" s="11"/>
      <c r="H38" s="11"/>
      <c r="I38" s="11"/>
      <c r="J38" s="11"/>
      <c r="K38" s="11"/>
      <c r="L38" s="11"/>
      <c r="M38" s="11"/>
      <c r="N38" s="11"/>
      <c r="O38" s="11"/>
      <c r="P38" s="11"/>
      <c r="Q38" s="11"/>
      <c r="R38" s="11"/>
      <c r="S38" s="11"/>
      <c r="T38" s="11"/>
      <c r="U38" s="11"/>
      <c r="V38" s="11"/>
      <c r="W38" s="11"/>
      <c r="X38" s="11"/>
    </row>
    <row r="39" spans="1:24">
      <c r="A39" s="11"/>
      <c r="B39" s="11"/>
      <c r="C39" s="11"/>
      <c r="D39" s="11"/>
      <c r="E39" s="11"/>
      <c r="F39" s="11"/>
      <c r="G39" s="11"/>
      <c r="H39" s="11"/>
      <c r="I39" s="11"/>
      <c r="J39" s="11"/>
      <c r="K39" s="11"/>
      <c r="L39" s="11"/>
      <c r="M39" s="11"/>
      <c r="N39" s="11"/>
      <c r="O39" s="11"/>
      <c r="P39" s="11"/>
      <c r="Q39" s="11"/>
      <c r="R39" s="11"/>
      <c r="S39" s="11"/>
      <c r="T39" s="11"/>
      <c r="U39" s="11"/>
      <c r="V39" s="11"/>
      <c r="W39" s="11"/>
      <c r="X39" s="11"/>
    </row>
    <row r="40" spans="1:24">
      <c r="A40" s="11"/>
      <c r="B40" s="11"/>
      <c r="C40" s="11"/>
      <c r="D40" s="11"/>
      <c r="E40" s="11"/>
      <c r="F40" s="11"/>
      <c r="G40" s="11"/>
      <c r="H40" s="11"/>
      <c r="I40" s="11"/>
      <c r="J40" s="11"/>
      <c r="K40" s="11"/>
      <c r="L40" s="11"/>
      <c r="M40" s="11"/>
      <c r="N40" s="11"/>
      <c r="O40" s="11"/>
      <c r="P40" s="11"/>
      <c r="Q40" s="11"/>
      <c r="R40" s="11"/>
      <c r="S40" s="11"/>
      <c r="T40" s="11"/>
      <c r="U40" s="11"/>
      <c r="V40" s="11"/>
      <c r="W40" s="11"/>
      <c r="X40" s="11"/>
    </row>
    <row r="41" spans="1:24">
      <c r="A41" s="11"/>
      <c r="B41" s="11"/>
      <c r="C41" s="11"/>
      <c r="D41" s="11"/>
      <c r="E41" s="11"/>
      <c r="F41" s="11"/>
      <c r="G41" s="11"/>
      <c r="H41" s="11"/>
      <c r="I41" s="11"/>
      <c r="J41" s="11"/>
      <c r="K41" s="11"/>
      <c r="L41" s="11"/>
      <c r="M41" s="11"/>
      <c r="N41" s="11"/>
      <c r="O41" s="11"/>
      <c r="P41" s="11"/>
      <c r="Q41" s="11"/>
      <c r="R41" s="11"/>
      <c r="S41" s="11"/>
      <c r="T41" s="11"/>
      <c r="U41" s="11"/>
      <c r="V41" s="11"/>
      <c r="W41" s="11"/>
      <c r="X41" s="11"/>
    </row>
    <row r="42" spans="1:24">
      <c r="A42" s="11"/>
      <c r="B42" s="11"/>
      <c r="C42" s="11"/>
      <c r="D42" s="11"/>
      <c r="E42" s="11"/>
      <c r="F42" s="11"/>
      <c r="G42" s="11"/>
      <c r="H42" s="11"/>
      <c r="I42" s="11"/>
      <c r="J42" s="11"/>
      <c r="K42" s="11"/>
      <c r="L42" s="11"/>
      <c r="M42" s="11"/>
      <c r="N42" s="11"/>
      <c r="O42" s="11"/>
      <c r="P42" s="11"/>
      <c r="Q42" s="11"/>
      <c r="R42" s="11"/>
      <c r="S42" s="11"/>
      <c r="T42" s="11"/>
      <c r="U42" s="11"/>
      <c r="V42" s="11"/>
      <c r="W42" s="11"/>
      <c r="X42" s="11"/>
    </row>
    <row r="43" spans="1:24">
      <c r="A43" s="11"/>
      <c r="B43" s="11"/>
      <c r="C43" s="11"/>
      <c r="D43" s="11"/>
      <c r="E43" s="11"/>
      <c r="F43" s="11"/>
      <c r="G43" s="11"/>
      <c r="H43" s="11"/>
      <c r="I43" s="11"/>
      <c r="J43" s="11"/>
      <c r="K43" s="11"/>
      <c r="L43" s="11"/>
      <c r="M43" s="11"/>
      <c r="N43" s="11"/>
      <c r="O43" s="11"/>
      <c r="P43" s="11"/>
      <c r="Q43" s="11"/>
      <c r="R43" s="11"/>
      <c r="S43" s="11"/>
      <c r="T43" s="11"/>
      <c r="U43" s="11"/>
      <c r="V43" s="11"/>
      <c r="W43" s="11"/>
      <c r="X43" s="11"/>
    </row>
    <row r="44" spans="1:24">
      <c r="A44" s="11"/>
      <c r="B44" s="11"/>
      <c r="C44" s="11"/>
      <c r="D44" s="11"/>
      <c r="E44" s="11"/>
      <c r="F44" s="11"/>
      <c r="G44" s="11"/>
      <c r="H44" s="11"/>
      <c r="I44" s="11"/>
      <c r="J44" s="11"/>
      <c r="K44" s="11"/>
      <c r="L44" s="11"/>
      <c r="M44" s="11"/>
      <c r="N44" s="11"/>
      <c r="O44" s="11"/>
      <c r="P44" s="11"/>
      <c r="Q44" s="11"/>
      <c r="R44" s="11"/>
      <c r="S44" s="11"/>
      <c r="T44" s="11"/>
      <c r="U44" s="11"/>
      <c r="V44" s="11"/>
      <c r="W44" s="11"/>
      <c r="X44" s="11"/>
    </row>
    <row r="45" spans="1:24">
      <c r="A45" s="11"/>
      <c r="B45" s="11"/>
      <c r="C45" s="11"/>
      <c r="D45" s="11"/>
      <c r="E45" s="11"/>
      <c r="F45" s="11"/>
      <c r="G45" s="11"/>
      <c r="H45" s="11"/>
      <c r="I45" s="11"/>
      <c r="J45" s="11"/>
      <c r="K45" s="11"/>
      <c r="L45" s="11"/>
      <c r="M45" s="11"/>
      <c r="N45" s="11"/>
      <c r="O45" s="11"/>
      <c r="P45" s="11"/>
      <c r="Q45" s="11"/>
      <c r="R45" s="11"/>
      <c r="S45" s="11"/>
      <c r="T45" s="11"/>
      <c r="U45" s="11"/>
      <c r="V45" s="11"/>
      <c r="W45" s="11"/>
      <c r="X45" s="11"/>
    </row>
    <row r="46" spans="1:24">
      <c r="A46" s="11"/>
      <c r="B46" s="11"/>
      <c r="C46" s="11"/>
      <c r="D46" s="11"/>
      <c r="E46" s="11"/>
      <c r="F46" s="11"/>
      <c r="G46" s="11"/>
      <c r="H46" s="11"/>
      <c r="I46" s="11"/>
      <c r="J46" s="11"/>
      <c r="K46" s="11"/>
      <c r="L46" s="11"/>
      <c r="M46" s="11"/>
      <c r="N46" s="11"/>
      <c r="O46" s="11"/>
      <c r="P46" s="11"/>
      <c r="Q46" s="11"/>
      <c r="R46" s="11"/>
      <c r="S46" s="11"/>
      <c r="T46" s="11"/>
      <c r="U46" s="11"/>
      <c r="V46" s="11"/>
      <c r="W46" s="11"/>
      <c r="X46" s="11"/>
    </row>
    <row r="47" spans="1:24">
      <c r="A47" s="11"/>
      <c r="B47" s="11"/>
      <c r="C47" s="11"/>
      <c r="D47" s="11"/>
      <c r="E47" s="11"/>
      <c r="F47" s="11"/>
      <c r="G47" s="11"/>
      <c r="H47" s="11"/>
      <c r="I47" s="11"/>
      <c r="J47" s="11"/>
      <c r="K47" s="11"/>
      <c r="L47" s="11"/>
      <c r="M47" s="11"/>
      <c r="N47" s="11"/>
      <c r="O47" s="11"/>
      <c r="P47" s="11"/>
      <c r="Q47" s="11"/>
      <c r="R47" s="11"/>
      <c r="S47" s="11"/>
      <c r="T47" s="11"/>
      <c r="U47" s="11"/>
      <c r="V47" s="11"/>
      <c r="W47" s="11"/>
      <c r="X47" s="11"/>
    </row>
    <row r="48" spans="1:24">
      <c r="A48" s="11"/>
      <c r="B48" s="11"/>
      <c r="C48" s="11"/>
      <c r="D48" s="11"/>
      <c r="E48" s="11"/>
      <c r="F48" s="11"/>
      <c r="G48" s="11"/>
      <c r="H48" s="11"/>
      <c r="I48" s="11"/>
      <c r="J48" s="11"/>
      <c r="K48" s="11"/>
      <c r="L48" s="11"/>
      <c r="M48" s="11"/>
      <c r="N48" s="11"/>
      <c r="O48" s="11"/>
      <c r="P48" s="11"/>
      <c r="Q48" s="11"/>
      <c r="R48" s="11"/>
      <c r="S48" s="11"/>
      <c r="T48" s="11"/>
      <c r="U48" s="11"/>
      <c r="V48" s="11"/>
      <c r="W48" s="11"/>
      <c r="X48" s="11"/>
    </row>
    <row r="49" spans="1:24">
      <c r="A49" s="11"/>
      <c r="B49" s="11"/>
      <c r="C49" s="11"/>
      <c r="D49" s="11"/>
      <c r="E49" s="11"/>
      <c r="F49" s="11"/>
      <c r="G49" s="11"/>
      <c r="H49" s="11"/>
      <c r="I49" s="11"/>
      <c r="J49" s="11"/>
      <c r="K49" s="11"/>
      <c r="L49" s="11"/>
      <c r="M49" s="11"/>
      <c r="N49" s="11"/>
      <c r="O49" s="11"/>
      <c r="P49" s="11"/>
      <c r="Q49" s="11"/>
      <c r="R49" s="11"/>
      <c r="S49" s="11"/>
      <c r="T49" s="11"/>
      <c r="U49" s="11"/>
      <c r="V49" s="11"/>
      <c r="W49" s="11"/>
      <c r="X49" s="11"/>
    </row>
    <row r="50" spans="1:24">
      <c r="A50" s="11"/>
      <c r="B50" s="11"/>
      <c r="C50" s="11"/>
      <c r="D50" s="11"/>
      <c r="E50" s="11"/>
      <c r="F50" s="11"/>
      <c r="G50" s="11"/>
      <c r="H50" s="11"/>
      <c r="I50" s="11"/>
      <c r="J50" s="11"/>
      <c r="K50" s="11"/>
      <c r="L50" s="11"/>
      <c r="M50" s="11"/>
      <c r="N50" s="11"/>
      <c r="O50" s="11"/>
      <c r="P50" s="11"/>
      <c r="Q50" s="11"/>
      <c r="R50" s="11"/>
      <c r="S50" s="11"/>
      <c r="T50" s="11"/>
      <c r="U50" s="11"/>
      <c r="V50" s="11"/>
      <c r="W50" s="11"/>
      <c r="X50" s="11"/>
    </row>
    <row r="51" spans="1:24">
      <c r="A51" s="11"/>
      <c r="B51" s="11"/>
      <c r="C51" s="11"/>
      <c r="D51" s="11"/>
      <c r="E51" s="11"/>
      <c r="F51" s="11"/>
      <c r="G51" s="11"/>
      <c r="H51" s="11"/>
      <c r="I51" s="11"/>
      <c r="J51" s="11"/>
      <c r="K51" s="11"/>
      <c r="L51" s="11"/>
      <c r="M51" s="11"/>
      <c r="N51" s="11"/>
      <c r="O51" s="11"/>
      <c r="P51" s="11"/>
      <c r="Q51" s="11"/>
      <c r="R51" s="11"/>
      <c r="S51" s="11"/>
      <c r="T51" s="11"/>
      <c r="U51" s="11"/>
      <c r="V51" s="11"/>
      <c r="W51" s="11"/>
      <c r="X51" s="11"/>
    </row>
    <row r="52" spans="1:24">
      <c r="A52" s="11"/>
      <c r="B52" s="11"/>
      <c r="C52" s="11"/>
      <c r="D52" s="11"/>
      <c r="E52" s="11"/>
      <c r="F52" s="11"/>
      <c r="G52" s="11"/>
      <c r="H52" s="11"/>
      <c r="I52" s="11"/>
      <c r="J52" s="11"/>
      <c r="K52" s="11"/>
      <c r="L52" s="11"/>
      <c r="M52" s="11"/>
      <c r="N52" s="11"/>
      <c r="O52" s="11"/>
      <c r="P52" s="11"/>
      <c r="Q52" s="11"/>
      <c r="R52" s="11"/>
      <c r="S52" s="11"/>
      <c r="T52" s="11"/>
      <c r="U52" s="11"/>
      <c r="V52" s="11"/>
      <c r="W52" s="11"/>
      <c r="X52" s="11"/>
    </row>
    <row r="53" spans="1:24">
      <c r="A53" s="11"/>
      <c r="B53" s="11"/>
      <c r="C53" s="11"/>
      <c r="D53" s="11"/>
      <c r="E53" s="11"/>
      <c r="F53" s="11"/>
      <c r="G53" s="11"/>
      <c r="H53" s="11"/>
      <c r="I53" s="11"/>
      <c r="J53" s="11"/>
      <c r="K53" s="11"/>
      <c r="L53" s="11"/>
      <c r="M53" s="11"/>
      <c r="N53" s="11"/>
      <c r="O53" s="11"/>
      <c r="P53" s="11"/>
      <c r="Q53" s="11"/>
      <c r="R53" s="11"/>
      <c r="S53" s="11"/>
      <c r="T53" s="11"/>
      <c r="U53" s="11"/>
      <c r="V53" s="11"/>
      <c r="W53" s="11"/>
      <c r="X53" s="11"/>
    </row>
    <row r="54" spans="1:24">
      <c r="A54" s="11"/>
      <c r="B54" s="11"/>
      <c r="C54" s="11"/>
      <c r="D54" s="11"/>
      <c r="E54" s="11"/>
      <c r="F54" s="11"/>
      <c r="G54" s="11"/>
      <c r="H54" s="11"/>
      <c r="I54" s="11"/>
      <c r="J54" s="11"/>
      <c r="K54" s="11"/>
      <c r="L54" s="11"/>
      <c r="M54" s="11"/>
      <c r="N54" s="11"/>
      <c r="O54" s="11"/>
      <c r="P54" s="11"/>
      <c r="Q54" s="11"/>
      <c r="R54" s="11"/>
      <c r="S54" s="11"/>
      <c r="T54" s="11"/>
      <c r="U54" s="11"/>
      <c r="V54" s="11"/>
      <c r="W54" s="11"/>
      <c r="X54" s="11"/>
    </row>
    <row r="55" spans="1:24">
      <c r="A55" s="11"/>
      <c r="B55" s="11"/>
      <c r="C55" s="11"/>
      <c r="D55" s="11"/>
      <c r="E55" s="11"/>
      <c r="F55" s="11"/>
      <c r="G55" s="11"/>
      <c r="H55" s="11"/>
      <c r="I55" s="11"/>
      <c r="J55" s="11"/>
      <c r="K55" s="11"/>
      <c r="L55" s="11"/>
      <c r="M55" s="11"/>
      <c r="N55" s="11"/>
      <c r="O55" s="11"/>
      <c r="P55" s="11"/>
      <c r="Q55" s="11"/>
      <c r="R55" s="11"/>
      <c r="S55" s="11"/>
      <c r="T55" s="11"/>
      <c r="U55" s="11"/>
      <c r="V55" s="11"/>
      <c r="W55" s="11"/>
      <c r="X55" s="11"/>
    </row>
    <row r="56" spans="1:24">
      <c r="A56" s="11"/>
      <c r="B56" s="11"/>
      <c r="C56" s="11"/>
      <c r="D56" s="11"/>
      <c r="E56" s="11"/>
      <c r="F56" s="11"/>
      <c r="G56" s="11"/>
      <c r="H56" s="11"/>
      <c r="I56" s="11"/>
      <c r="J56" s="11"/>
      <c r="K56" s="11"/>
      <c r="L56" s="11"/>
      <c r="M56" s="11"/>
      <c r="N56" s="11"/>
      <c r="O56" s="11"/>
      <c r="P56" s="11"/>
      <c r="Q56" s="11"/>
      <c r="R56" s="11"/>
      <c r="S56" s="11"/>
      <c r="T56" s="11"/>
      <c r="U56" s="11"/>
      <c r="V56" s="11"/>
      <c r="W56" s="11"/>
      <c r="X56" s="11"/>
    </row>
    <row r="57" spans="1:24">
      <c r="A57" s="11"/>
      <c r="B57" s="11"/>
      <c r="C57" s="11"/>
      <c r="D57" s="11"/>
      <c r="E57" s="11"/>
      <c r="F57" s="11"/>
      <c r="G57" s="11"/>
      <c r="H57" s="11"/>
      <c r="I57" s="11"/>
      <c r="J57" s="11"/>
      <c r="K57" s="11"/>
      <c r="L57" s="11"/>
      <c r="M57" s="11"/>
      <c r="N57" s="11"/>
      <c r="O57" s="11"/>
      <c r="P57" s="11"/>
      <c r="Q57" s="11"/>
      <c r="R57" s="11"/>
      <c r="S57" s="11"/>
      <c r="T57" s="11"/>
      <c r="U57" s="11"/>
      <c r="V57" s="11"/>
      <c r="W57" s="11"/>
      <c r="X57" s="11"/>
    </row>
    <row r="58" spans="1:24">
      <c r="A58" s="11"/>
      <c r="B58" s="11"/>
      <c r="C58" s="11"/>
      <c r="D58" s="11"/>
      <c r="E58" s="11"/>
      <c r="F58" s="11"/>
      <c r="G58" s="11"/>
      <c r="H58" s="11"/>
      <c r="I58" s="11"/>
      <c r="J58" s="11"/>
      <c r="K58" s="11"/>
      <c r="L58" s="11"/>
      <c r="M58" s="11"/>
      <c r="N58" s="11"/>
      <c r="O58" s="11"/>
      <c r="P58" s="11"/>
      <c r="Q58" s="11"/>
      <c r="R58" s="11"/>
      <c r="S58" s="11"/>
      <c r="T58" s="11"/>
      <c r="U58" s="11"/>
      <c r="V58" s="11"/>
      <c r="W58" s="11"/>
      <c r="X58" s="11"/>
    </row>
    <row r="59" spans="1:24">
      <c r="A59" s="11"/>
      <c r="B59" s="11"/>
      <c r="C59" s="11"/>
      <c r="D59" s="11"/>
      <c r="E59" s="11"/>
      <c r="F59" s="11"/>
      <c r="G59" s="11"/>
      <c r="H59" s="11"/>
      <c r="I59" s="11"/>
      <c r="J59" s="11"/>
      <c r="K59" s="11"/>
      <c r="L59" s="11"/>
      <c r="M59" s="11"/>
      <c r="N59" s="11"/>
      <c r="O59" s="11"/>
      <c r="P59" s="11"/>
      <c r="Q59" s="11"/>
      <c r="R59" s="11"/>
      <c r="S59" s="11"/>
      <c r="T59" s="11"/>
      <c r="U59" s="11"/>
      <c r="V59" s="11"/>
      <c r="W59" s="11"/>
      <c r="X59" s="11"/>
    </row>
    <row r="60" spans="1:24">
      <c r="A60" s="11"/>
      <c r="B60" s="11"/>
      <c r="C60" s="11"/>
      <c r="D60" s="11"/>
      <c r="E60" s="11"/>
      <c r="F60" s="11"/>
      <c r="G60" s="11"/>
      <c r="H60" s="11"/>
      <c r="I60" s="11"/>
      <c r="J60" s="11"/>
      <c r="K60" s="11"/>
      <c r="L60" s="11"/>
      <c r="M60" s="11"/>
      <c r="N60" s="11"/>
      <c r="O60" s="11"/>
      <c r="P60" s="11"/>
      <c r="Q60" s="11"/>
      <c r="R60" s="11"/>
      <c r="S60" s="11"/>
      <c r="T60" s="11"/>
      <c r="U60" s="11"/>
      <c r="V60" s="11"/>
      <c r="W60" s="11"/>
      <c r="X60" s="11"/>
    </row>
    <row r="61" spans="1:24">
      <c r="A61" s="11"/>
      <c r="B61" s="11"/>
      <c r="C61" s="11"/>
      <c r="D61" s="11"/>
      <c r="E61" s="11"/>
      <c r="F61" s="11"/>
      <c r="G61" s="11"/>
      <c r="H61" s="11"/>
      <c r="I61" s="11"/>
      <c r="J61" s="11"/>
      <c r="K61" s="11"/>
      <c r="L61" s="11"/>
      <c r="M61" s="11"/>
      <c r="N61" s="11"/>
      <c r="O61" s="11"/>
      <c r="P61" s="11"/>
      <c r="Q61" s="11"/>
      <c r="R61" s="11"/>
      <c r="S61" s="11"/>
      <c r="T61" s="11"/>
      <c r="U61" s="11"/>
      <c r="V61" s="11"/>
      <c r="W61" s="11"/>
      <c r="X61" s="11"/>
    </row>
    <row r="62" spans="1:24">
      <c r="A62" s="11"/>
      <c r="B62" s="11"/>
      <c r="C62" s="11"/>
      <c r="D62" s="11"/>
      <c r="E62" s="11"/>
      <c r="F62" s="11"/>
      <c r="G62" s="11"/>
      <c r="H62" s="11"/>
      <c r="I62" s="11"/>
      <c r="J62" s="11"/>
      <c r="K62" s="11"/>
      <c r="L62" s="11"/>
      <c r="M62" s="11"/>
      <c r="N62" s="11"/>
      <c r="O62" s="11"/>
      <c r="P62" s="11"/>
      <c r="Q62" s="11"/>
      <c r="R62" s="11"/>
      <c r="S62" s="11"/>
      <c r="T62" s="11"/>
      <c r="U62" s="11"/>
      <c r="V62" s="11"/>
      <c r="W62" s="11"/>
      <c r="X62" s="11"/>
    </row>
    <row r="63" spans="1:24">
      <c r="A63" s="11"/>
      <c r="B63" s="11"/>
      <c r="C63" s="11"/>
      <c r="D63" s="11"/>
      <c r="E63" s="11"/>
      <c r="F63" s="11"/>
      <c r="G63" s="11"/>
      <c r="H63" s="11"/>
      <c r="I63" s="11"/>
      <c r="J63" s="11"/>
      <c r="K63" s="11"/>
      <c r="L63" s="11"/>
      <c r="M63" s="11"/>
      <c r="N63" s="11"/>
      <c r="O63" s="11"/>
      <c r="P63" s="11"/>
      <c r="Q63" s="11"/>
      <c r="R63" s="11"/>
      <c r="S63" s="11"/>
      <c r="T63" s="11"/>
      <c r="U63" s="11"/>
      <c r="V63" s="11"/>
      <c r="W63" s="11"/>
      <c r="X63" s="11"/>
    </row>
    <row r="64" spans="1:24">
      <c r="A64" s="11"/>
      <c r="B64" s="11"/>
      <c r="C64" s="11"/>
      <c r="D64" s="11"/>
      <c r="E64" s="11"/>
      <c r="F64" s="11"/>
      <c r="G64" s="11"/>
      <c r="H64" s="11"/>
      <c r="I64" s="11"/>
      <c r="J64" s="11"/>
      <c r="K64" s="11"/>
      <c r="L64" s="11"/>
      <c r="M64" s="11"/>
      <c r="N64" s="11"/>
      <c r="O64" s="11"/>
      <c r="P64" s="11"/>
      <c r="Q64" s="11"/>
      <c r="R64" s="11"/>
      <c r="S64" s="11"/>
      <c r="T64" s="11"/>
      <c r="U64" s="11"/>
      <c r="V64" s="11"/>
      <c r="W64" s="11"/>
      <c r="X64" s="11"/>
    </row>
    <row r="65" spans="1:24">
      <c r="A65" s="11"/>
      <c r="B65" s="11"/>
      <c r="C65" s="11"/>
      <c r="D65" s="11"/>
      <c r="E65" s="11"/>
      <c r="F65" s="11"/>
      <c r="G65" s="11"/>
      <c r="H65" s="11"/>
      <c r="I65" s="11"/>
      <c r="J65" s="11"/>
      <c r="K65" s="11"/>
      <c r="L65" s="11"/>
      <c r="M65" s="11"/>
      <c r="N65" s="11"/>
      <c r="O65" s="11"/>
      <c r="P65" s="11"/>
      <c r="Q65" s="11"/>
      <c r="R65" s="11"/>
      <c r="S65" s="11"/>
      <c r="T65" s="11"/>
      <c r="U65" s="11"/>
      <c r="V65" s="11"/>
      <c r="W65" s="11"/>
      <c r="X65" s="11"/>
    </row>
    <row r="66" spans="1:24">
      <c r="A66" s="11"/>
      <c r="B66" s="11"/>
      <c r="C66" s="11"/>
      <c r="D66" s="11"/>
      <c r="E66" s="11"/>
      <c r="F66" s="11"/>
      <c r="G66" s="11"/>
      <c r="H66" s="11"/>
      <c r="I66" s="11"/>
      <c r="J66" s="11"/>
      <c r="K66" s="11"/>
      <c r="L66" s="11"/>
      <c r="M66" s="11"/>
      <c r="N66" s="11"/>
      <c r="O66" s="11"/>
      <c r="P66" s="11"/>
      <c r="Q66" s="11"/>
      <c r="R66" s="11"/>
      <c r="S66" s="11"/>
      <c r="T66" s="11"/>
      <c r="U66" s="11"/>
      <c r="V66" s="11"/>
      <c r="W66" s="11"/>
      <c r="X66" s="11"/>
    </row>
    <row r="67" spans="1:24">
      <c r="A67" s="11"/>
      <c r="B67" s="11"/>
      <c r="C67" s="11"/>
      <c r="D67" s="11"/>
      <c r="E67" s="11"/>
      <c r="F67" s="11"/>
      <c r="G67" s="11"/>
      <c r="H67" s="11"/>
      <c r="I67" s="11"/>
      <c r="J67" s="11"/>
      <c r="K67" s="11"/>
      <c r="L67" s="11"/>
      <c r="M67" s="11"/>
      <c r="N67" s="11"/>
      <c r="O67" s="11"/>
      <c r="P67" s="11"/>
      <c r="Q67" s="11"/>
      <c r="R67" s="11"/>
      <c r="S67" s="11"/>
      <c r="T67" s="11"/>
      <c r="U67" s="11"/>
      <c r="V67" s="11"/>
      <c r="W67" s="11"/>
      <c r="X67" s="11"/>
    </row>
    <row r="68" spans="1:24">
      <c r="A68" s="11"/>
      <c r="B68" s="11"/>
      <c r="C68" s="11"/>
      <c r="D68" s="11"/>
      <c r="E68" s="11"/>
      <c r="F68" s="11"/>
      <c r="G68" s="11"/>
      <c r="H68" s="11"/>
      <c r="I68" s="11"/>
      <c r="J68" s="11"/>
      <c r="K68" s="11"/>
      <c r="L68" s="11"/>
      <c r="M68" s="11"/>
      <c r="N68" s="11"/>
      <c r="O68" s="11"/>
      <c r="P68" s="11"/>
      <c r="Q68" s="11"/>
      <c r="R68" s="11"/>
      <c r="S68" s="11"/>
      <c r="T68" s="11"/>
      <c r="U68" s="11"/>
      <c r="V68" s="11"/>
      <c r="W68" s="11"/>
      <c r="X68" s="11"/>
    </row>
    <row r="69" spans="1:24">
      <c r="A69" s="11"/>
      <c r="B69" s="11"/>
      <c r="C69" s="11"/>
      <c r="D69" s="11"/>
      <c r="E69" s="11"/>
      <c r="F69" s="11"/>
      <c r="G69" s="11"/>
      <c r="H69" s="11"/>
      <c r="I69" s="11"/>
      <c r="J69" s="11"/>
      <c r="K69" s="11"/>
      <c r="L69" s="11"/>
      <c r="M69" s="11"/>
      <c r="N69" s="11"/>
      <c r="O69" s="11"/>
      <c r="P69" s="11"/>
      <c r="Q69" s="11"/>
      <c r="R69" s="11"/>
      <c r="S69" s="11"/>
      <c r="T69" s="11"/>
      <c r="U69" s="11"/>
      <c r="V69" s="11"/>
      <c r="W69" s="11"/>
      <c r="X69" s="11"/>
    </row>
    <row r="70" spans="1:24">
      <c r="A70" s="11"/>
      <c r="B70" s="11"/>
      <c r="C70" s="11"/>
      <c r="D70" s="11"/>
      <c r="E70" s="11"/>
      <c r="F70" s="11"/>
      <c r="G70" s="11"/>
      <c r="H70" s="11"/>
      <c r="I70" s="11"/>
      <c r="J70" s="11"/>
      <c r="K70" s="11"/>
      <c r="L70" s="11"/>
      <c r="M70" s="11"/>
      <c r="N70" s="11"/>
      <c r="O70" s="11"/>
      <c r="P70" s="11"/>
      <c r="Q70" s="11"/>
      <c r="R70" s="11"/>
      <c r="S70" s="11"/>
      <c r="T70" s="11"/>
      <c r="U70" s="11"/>
      <c r="V70" s="11"/>
      <c r="W70" s="11"/>
      <c r="X70" s="11"/>
    </row>
    <row r="71" spans="1:24">
      <c r="A71" s="11"/>
      <c r="B71" s="11"/>
      <c r="C71" s="11"/>
      <c r="D71" s="11"/>
      <c r="E71" s="11"/>
      <c r="F71" s="11"/>
      <c r="G71" s="11"/>
      <c r="H71" s="11"/>
      <c r="I71" s="11"/>
      <c r="J71" s="11"/>
      <c r="K71" s="11"/>
      <c r="L71" s="11"/>
      <c r="M71" s="11"/>
      <c r="N71" s="11"/>
      <c r="O71" s="11"/>
      <c r="P71" s="11"/>
      <c r="Q71" s="11"/>
      <c r="R71" s="11"/>
      <c r="S71" s="11"/>
      <c r="T71" s="11"/>
      <c r="U71" s="11"/>
      <c r="V71" s="11"/>
      <c r="W71" s="11"/>
      <c r="X71" s="11"/>
    </row>
    <row r="72" spans="1:24">
      <c r="A72" s="11"/>
      <c r="B72" s="11"/>
      <c r="C72" s="11"/>
      <c r="D72" s="11"/>
      <c r="E72" s="11"/>
      <c r="F72" s="11"/>
      <c r="G72" s="11"/>
      <c r="H72" s="11"/>
      <c r="I72" s="11"/>
      <c r="J72" s="11"/>
      <c r="K72" s="11"/>
      <c r="L72" s="11"/>
      <c r="M72" s="11"/>
      <c r="N72" s="11"/>
      <c r="O72" s="11"/>
      <c r="P72" s="11"/>
      <c r="Q72" s="11"/>
      <c r="R72" s="11"/>
      <c r="S72" s="11"/>
      <c r="T72" s="11"/>
      <c r="U72" s="11"/>
      <c r="V72" s="11"/>
      <c r="W72" s="11"/>
      <c r="X72" s="11"/>
    </row>
    <row r="73" spans="1:24">
      <c r="A73" s="11"/>
      <c r="B73" s="11"/>
      <c r="C73" s="11"/>
      <c r="D73" s="11"/>
      <c r="E73" s="11"/>
      <c r="F73" s="11"/>
      <c r="G73" s="11"/>
      <c r="H73" s="11"/>
      <c r="I73" s="11"/>
      <c r="J73" s="11"/>
      <c r="K73" s="11"/>
      <c r="L73" s="11"/>
      <c r="M73" s="11"/>
      <c r="N73" s="11"/>
      <c r="O73" s="11"/>
      <c r="P73" s="11"/>
      <c r="Q73" s="11"/>
      <c r="R73" s="11"/>
      <c r="S73" s="11"/>
      <c r="T73" s="11"/>
      <c r="U73" s="11"/>
      <c r="V73" s="11"/>
      <c r="W73" s="11"/>
      <c r="X73" s="11"/>
    </row>
    <row r="74" spans="1:24">
      <c r="A74" s="11"/>
      <c r="B74" s="11"/>
      <c r="C74" s="11"/>
      <c r="D74" s="11"/>
      <c r="E74" s="11"/>
      <c r="F74" s="11"/>
      <c r="G74" s="11"/>
      <c r="H74" s="11"/>
      <c r="I74" s="11"/>
      <c r="J74" s="11"/>
      <c r="K74" s="11"/>
      <c r="L74" s="11"/>
      <c r="M74" s="11"/>
      <c r="N74" s="11"/>
      <c r="O74" s="11"/>
      <c r="P74" s="11"/>
      <c r="Q74" s="11"/>
      <c r="R74" s="11"/>
      <c r="S74" s="11"/>
      <c r="T74" s="11"/>
      <c r="U74" s="11"/>
      <c r="V74" s="11"/>
      <c r="W74" s="11"/>
      <c r="X74" s="11"/>
    </row>
    <row r="75" spans="1:24">
      <c r="A75" s="11"/>
      <c r="B75" s="11"/>
      <c r="C75" s="11"/>
      <c r="D75" s="11"/>
      <c r="E75" s="11"/>
      <c r="F75" s="11"/>
      <c r="G75" s="11"/>
      <c r="H75" s="11"/>
      <c r="I75" s="11"/>
      <c r="J75" s="11"/>
      <c r="K75" s="11"/>
      <c r="L75" s="11"/>
      <c r="M75" s="11"/>
      <c r="N75" s="11"/>
      <c r="O75" s="11"/>
      <c r="P75" s="11"/>
      <c r="Q75" s="11"/>
      <c r="R75" s="11"/>
      <c r="S75" s="11"/>
      <c r="T75" s="11"/>
      <c r="U75" s="11"/>
      <c r="V75" s="11"/>
      <c r="W75" s="11"/>
      <c r="X75" s="11"/>
    </row>
    <row r="76" spans="1:24">
      <c r="A76" s="11"/>
      <c r="B76" s="11"/>
      <c r="C76" s="11"/>
      <c r="D76" s="11"/>
      <c r="E76" s="11"/>
      <c r="F76" s="11"/>
      <c r="G76" s="11"/>
      <c r="H76" s="11"/>
      <c r="I76" s="11"/>
      <c r="J76" s="11"/>
      <c r="K76" s="11"/>
      <c r="L76" s="11"/>
      <c r="M76" s="11"/>
      <c r="N76" s="11"/>
      <c r="O76" s="11"/>
      <c r="P76" s="11"/>
      <c r="Q76" s="11"/>
      <c r="R76" s="11"/>
      <c r="S76" s="11"/>
      <c r="T76" s="11"/>
      <c r="U76" s="11"/>
      <c r="V76" s="11"/>
      <c r="W76" s="11"/>
      <c r="X76" s="11"/>
    </row>
    <row r="77" spans="1:24">
      <c r="A77" s="11"/>
      <c r="B77" s="11"/>
      <c r="C77" s="11"/>
      <c r="D77" s="11"/>
      <c r="E77" s="11"/>
      <c r="F77" s="11"/>
      <c r="G77" s="11"/>
      <c r="H77" s="11"/>
      <c r="I77" s="11"/>
      <c r="J77" s="11"/>
      <c r="K77" s="11"/>
      <c r="L77" s="11"/>
      <c r="M77" s="11"/>
      <c r="N77" s="11"/>
      <c r="O77" s="11"/>
      <c r="P77" s="11"/>
      <c r="Q77" s="11"/>
      <c r="R77" s="11"/>
      <c r="S77" s="11"/>
      <c r="T77" s="11"/>
      <c r="U77" s="11"/>
      <c r="V77" s="11"/>
      <c r="W77" s="11"/>
      <c r="X77" s="11"/>
    </row>
    <row r="78" spans="1:24">
      <c r="A78" s="11"/>
      <c r="B78" s="11"/>
      <c r="C78" s="11"/>
      <c r="D78" s="11"/>
      <c r="E78" s="11"/>
      <c r="F78" s="11"/>
      <c r="G78" s="11"/>
      <c r="H78" s="11"/>
      <c r="I78" s="11"/>
      <c r="J78" s="11"/>
      <c r="K78" s="11"/>
      <c r="L78" s="11"/>
      <c r="M78" s="11"/>
      <c r="N78" s="11"/>
      <c r="O78" s="11"/>
      <c r="P78" s="11"/>
      <c r="Q78" s="11"/>
      <c r="R78" s="11"/>
      <c r="S78" s="11"/>
      <c r="T78" s="11"/>
      <c r="U78" s="11"/>
      <c r="V78" s="11"/>
      <c r="W78" s="11"/>
      <c r="X78" s="11"/>
    </row>
    <row r="79" spans="1:24">
      <c r="A79" s="11"/>
      <c r="B79" s="11"/>
      <c r="C79" s="11"/>
      <c r="D79" s="11"/>
      <c r="E79" s="11"/>
      <c r="F79" s="11"/>
      <c r="G79" s="11"/>
      <c r="H79" s="11"/>
      <c r="I79" s="11"/>
      <c r="J79" s="11"/>
      <c r="K79" s="11"/>
      <c r="L79" s="11"/>
      <c r="M79" s="11"/>
      <c r="N79" s="11"/>
      <c r="O79" s="11"/>
      <c r="P79" s="11"/>
      <c r="Q79" s="11"/>
      <c r="R79" s="11"/>
      <c r="S79" s="11"/>
      <c r="T79" s="11"/>
      <c r="U79" s="11"/>
      <c r="V79" s="11"/>
      <c r="W79" s="11"/>
      <c r="X79" s="11"/>
    </row>
    <row r="80" spans="1:24">
      <c r="A80" s="11"/>
      <c r="B80" s="11"/>
      <c r="C80" s="11"/>
      <c r="D80" s="11"/>
      <c r="E80" s="11"/>
      <c r="F80" s="11"/>
      <c r="G80" s="11"/>
      <c r="H80" s="11"/>
      <c r="I80" s="11"/>
      <c r="J80" s="11"/>
      <c r="K80" s="11"/>
      <c r="L80" s="11"/>
      <c r="M80" s="11"/>
      <c r="N80" s="11"/>
      <c r="O80" s="11"/>
      <c r="P80" s="11"/>
      <c r="Q80" s="11"/>
      <c r="R80" s="11"/>
      <c r="S80" s="11"/>
      <c r="T80" s="11"/>
      <c r="U80" s="11"/>
      <c r="V80" s="11"/>
      <c r="W80" s="11"/>
      <c r="X80" s="11"/>
    </row>
    <row r="81" spans="1:24">
      <c r="A81" s="11"/>
      <c r="B81" s="11"/>
      <c r="C81" s="11"/>
      <c r="D81" s="11"/>
      <c r="E81" s="11"/>
      <c r="F81" s="11"/>
      <c r="G81" s="11"/>
      <c r="H81" s="11"/>
      <c r="I81" s="11"/>
      <c r="J81" s="11"/>
      <c r="K81" s="11"/>
      <c r="L81" s="11"/>
      <c r="M81" s="11"/>
      <c r="N81" s="11"/>
      <c r="O81" s="11"/>
      <c r="P81" s="11"/>
      <c r="Q81" s="11"/>
      <c r="R81" s="11"/>
      <c r="S81" s="11"/>
      <c r="T81" s="11"/>
      <c r="U81" s="11"/>
      <c r="V81" s="11"/>
      <c r="W81" s="11"/>
      <c r="X81" s="11"/>
    </row>
    <row r="82" spans="1:24">
      <c r="A82" s="11"/>
      <c r="B82" s="11"/>
      <c r="C82" s="11"/>
      <c r="D82" s="11"/>
      <c r="E82" s="11"/>
      <c r="F82" s="11"/>
      <c r="G82" s="11"/>
      <c r="H82" s="11"/>
      <c r="I82" s="11"/>
      <c r="J82" s="11"/>
      <c r="K82" s="11"/>
      <c r="L82" s="11"/>
      <c r="M82" s="11"/>
      <c r="N82" s="11"/>
      <c r="O82" s="11"/>
      <c r="P82" s="11"/>
      <c r="Q82" s="11"/>
      <c r="R82" s="11"/>
      <c r="S82" s="11"/>
      <c r="T82" s="11"/>
      <c r="U82" s="11"/>
      <c r="V82" s="11"/>
      <c r="W82" s="11"/>
      <c r="X82" s="11"/>
    </row>
    <row r="83" spans="1:24">
      <c r="A83" s="11"/>
      <c r="B83" s="11"/>
      <c r="C83" s="11"/>
      <c r="D83" s="11"/>
      <c r="E83" s="11"/>
      <c r="F83" s="11"/>
      <c r="G83" s="11"/>
      <c r="H83" s="11"/>
      <c r="I83" s="11"/>
      <c r="J83" s="11"/>
      <c r="K83" s="11"/>
      <c r="L83" s="11"/>
      <c r="M83" s="11"/>
      <c r="N83" s="11"/>
      <c r="O83" s="11"/>
      <c r="P83" s="11"/>
      <c r="Q83" s="11"/>
      <c r="R83" s="11"/>
      <c r="S83" s="11"/>
      <c r="T83" s="11"/>
      <c r="U83" s="11"/>
      <c r="V83" s="11"/>
      <c r="W83" s="11"/>
      <c r="X83" s="11"/>
    </row>
    <row r="84" spans="1:24">
      <c r="A84" s="11"/>
      <c r="B84" s="11"/>
      <c r="C84" s="11"/>
      <c r="D84" s="11"/>
      <c r="E84" s="11"/>
      <c r="F84" s="11"/>
      <c r="G84" s="11"/>
      <c r="H84" s="11"/>
      <c r="I84" s="11"/>
      <c r="J84" s="11"/>
      <c r="K84" s="11"/>
      <c r="L84" s="11"/>
      <c r="M84" s="11"/>
      <c r="N84" s="11"/>
      <c r="O84" s="11"/>
      <c r="P84" s="11"/>
      <c r="Q84" s="11"/>
      <c r="R84" s="11"/>
      <c r="S84" s="11"/>
      <c r="T84" s="11"/>
      <c r="U84" s="11"/>
      <c r="V84" s="11"/>
      <c r="W84" s="11"/>
      <c r="X84" s="11"/>
    </row>
    <row r="85" spans="1:24">
      <c r="A85" s="11"/>
      <c r="B85" s="11"/>
      <c r="C85" s="11"/>
      <c r="D85" s="11"/>
      <c r="E85" s="11"/>
      <c r="F85" s="11"/>
      <c r="G85" s="11"/>
      <c r="H85" s="11"/>
      <c r="I85" s="11"/>
      <c r="J85" s="11"/>
      <c r="K85" s="11"/>
      <c r="L85" s="11"/>
      <c r="M85" s="11"/>
      <c r="N85" s="11"/>
      <c r="O85" s="11"/>
      <c r="P85" s="11"/>
      <c r="Q85" s="11"/>
      <c r="R85" s="11"/>
      <c r="S85" s="11"/>
      <c r="T85" s="11"/>
      <c r="U85" s="11"/>
      <c r="V85" s="11"/>
      <c r="W85" s="11"/>
      <c r="X85" s="11"/>
    </row>
    <row r="86" spans="1:24">
      <c r="A86" s="11"/>
      <c r="B86" s="11"/>
      <c r="C86" s="11"/>
      <c r="D86" s="11"/>
      <c r="E86" s="11"/>
      <c r="F86" s="11"/>
      <c r="G86" s="11"/>
      <c r="H86" s="11"/>
      <c r="I86" s="11"/>
      <c r="J86" s="11"/>
      <c r="K86" s="11"/>
      <c r="L86" s="11"/>
      <c r="M86" s="11"/>
      <c r="N86" s="11"/>
      <c r="O86" s="11"/>
      <c r="P86" s="11"/>
      <c r="Q86" s="11"/>
      <c r="R86" s="11"/>
      <c r="S86" s="11"/>
      <c r="T86" s="11"/>
      <c r="U86" s="11"/>
      <c r="V86" s="11"/>
      <c r="W86" s="11"/>
      <c r="X86" s="11"/>
    </row>
    <row r="87" spans="1:24">
      <c r="A87" s="11"/>
      <c r="B87" s="11"/>
      <c r="C87" s="11"/>
      <c r="D87" s="11"/>
      <c r="E87" s="11"/>
      <c r="F87" s="11"/>
      <c r="G87" s="11"/>
      <c r="H87" s="11"/>
      <c r="I87" s="11"/>
      <c r="J87" s="11"/>
      <c r="K87" s="11"/>
      <c r="L87" s="11"/>
      <c r="M87" s="11"/>
      <c r="N87" s="11"/>
      <c r="O87" s="11"/>
      <c r="P87" s="11"/>
      <c r="Q87" s="11"/>
      <c r="R87" s="11"/>
      <c r="S87" s="11"/>
      <c r="T87" s="11"/>
      <c r="U87" s="11"/>
      <c r="V87" s="11"/>
      <c r="W87" s="11"/>
      <c r="X87" s="11"/>
    </row>
    <row r="88" spans="1:24">
      <c r="A88" s="11"/>
      <c r="B88" s="11"/>
      <c r="C88" s="11"/>
      <c r="D88" s="11"/>
      <c r="E88" s="11"/>
      <c r="F88" s="11"/>
      <c r="G88" s="11"/>
      <c r="H88" s="11"/>
      <c r="I88" s="11"/>
      <c r="J88" s="11"/>
      <c r="K88" s="11"/>
      <c r="L88" s="11"/>
      <c r="M88" s="11"/>
      <c r="N88" s="11"/>
      <c r="O88" s="11"/>
      <c r="P88" s="11"/>
      <c r="Q88" s="11"/>
      <c r="R88" s="11"/>
      <c r="S88" s="11"/>
      <c r="T88" s="11"/>
      <c r="U88" s="11"/>
      <c r="V88" s="11"/>
      <c r="W88" s="11"/>
      <c r="X88" s="11"/>
    </row>
    <row r="89" spans="1:24">
      <c r="A89" s="11"/>
      <c r="B89" s="11"/>
      <c r="C89" s="11"/>
      <c r="D89" s="11"/>
      <c r="E89" s="11"/>
      <c r="F89" s="11"/>
      <c r="G89" s="11"/>
      <c r="H89" s="11"/>
      <c r="I89" s="11"/>
      <c r="J89" s="11"/>
      <c r="K89" s="11"/>
      <c r="L89" s="11"/>
      <c r="M89" s="11"/>
      <c r="N89" s="11"/>
      <c r="O89" s="11"/>
      <c r="P89" s="11"/>
      <c r="Q89" s="11"/>
      <c r="R89" s="11"/>
      <c r="S89" s="11"/>
      <c r="T89" s="11"/>
      <c r="U89" s="11"/>
      <c r="V89" s="11"/>
      <c r="W89" s="11"/>
      <c r="X89" s="11"/>
    </row>
    <row r="90" spans="1:24">
      <c r="A90" s="11"/>
      <c r="B90" s="11"/>
      <c r="C90" s="11"/>
      <c r="D90" s="11"/>
      <c r="E90" s="11"/>
      <c r="F90" s="11"/>
      <c r="G90" s="11"/>
      <c r="H90" s="11"/>
      <c r="I90" s="11"/>
      <c r="J90" s="11"/>
      <c r="K90" s="11"/>
      <c r="L90" s="11"/>
      <c r="M90" s="11"/>
      <c r="N90" s="11"/>
      <c r="O90" s="11"/>
      <c r="P90" s="11"/>
      <c r="Q90" s="11"/>
      <c r="R90" s="11"/>
      <c r="S90" s="11"/>
      <c r="T90" s="11"/>
      <c r="U90" s="11"/>
      <c r="V90" s="11"/>
      <c r="W90" s="11"/>
      <c r="X90" s="11"/>
    </row>
    <row r="91" spans="1:24">
      <c r="A91" s="11"/>
      <c r="B91" s="11"/>
      <c r="C91" s="11"/>
      <c r="D91" s="11"/>
      <c r="E91" s="11"/>
      <c r="F91" s="11"/>
      <c r="G91" s="11"/>
      <c r="H91" s="11"/>
      <c r="I91" s="11"/>
      <c r="J91" s="11"/>
      <c r="K91" s="11"/>
      <c r="L91" s="11"/>
      <c r="M91" s="11"/>
      <c r="N91" s="11"/>
      <c r="O91" s="11"/>
      <c r="P91" s="11"/>
      <c r="Q91" s="11"/>
      <c r="R91" s="11"/>
      <c r="S91" s="11"/>
      <c r="T91" s="11"/>
      <c r="U91" s="11"/>
      <c r="V91" s="11"/>
      <c r="W91" s="11"/>
      <c r="X91" s="11"/>
    </row>
    <row r="92" spans="1:24">
      <c r="A92" s="11"/>
      <c r="B92" s="11"/>
      <c r="C92" s="11"/>
      <c r="D92" s="11"/>
      <c r="E92" s="11"/>
      <c r="F92" s="11"/>
      <c r="G92" s="11"/>
      <c r="H92" s="11"/>
      <c r="I92" s="11"/>
      <c r="J92" s="11"/>
      <c r="K92" s="11"/>
      <c r="L92" s="11"/>
      <c r="M92" s="11"/>
      <c r="N92" s="11"/>
      <c r="O92" s="11"/>
      <c r="P92" s="11"/>
      <c r="Q92" s="11"/>
      <c r="R92" s="11"/>
      <c r="S92" s="11"/>
      <c r="T92" s="11"/>
      <c r="U92" s="11"/>
      <c r="V92" s="11"/>
      <c r="W92" s="11"/>
      <c r="X92" s="11"/>
    </row>
    <row r="93" spans="1:24">
      <c r="A93" s="11"/>
      <c r="B93" s="11"/>
      <c r="C93" s="11"/>
      <c r="D93" s="11"/>
      <c r="E93" s="11"/>
      <c r="F93" s="11"/>
      <c r="G93" s="11"/>
      <c r="H93" s="11"/>
      <c r="I93" s="11"/>
      <c r="J93" s="11"/>
      <c r="K93" s="11"/>
      <c r="L93" s="11"/>
      <c r="M93" s="11"/>
      <c r="N93" s="11"/>
      <c r="O93" s="11"/>
      <c r="P93" s="11"/>
      <c r="Q93" s="11"/>
      <c r="R93" s="11"/>
      <c r="S93" s="11"/>
      <c r="T93" s="11"/>
      <c r="U93" s="11"/>
      <c r="V93" s="11"/>
      <c r="W93" s="11"/>
      <c r="X93" s="11"/>
    </row>
    <row r="94" spans="1:24">
      <c r="A94" s="11"/>
      <c r="B94" s="11"/>
      <c r="C94" s="11"/>
      <c r="D94" s="11"/>
      <c r="E94" s="11"/>
      <c r="F94" s="11"/>
      <c r="G94" s="11"/>
      <c r="H94" s="11"/>
      <c r="I94" s="11"/>
      <c r="J94" s="11"/>
      <c r="K94" s="11"/>
      <c r="L94" s="11"/>
      <c r="M94" s="11"/>
      <c r="N94" s="11"/>
      <c r="O94" s="11"/>
      <c r="P94" s="11"/>
      <c r="Q94" s="11"/>
      <c r="R94" s="11"/>
      <c r="S94" s="11"/>
      <c r="T94" s="11"/>
      <c r="U94" s="11"/>
      <c r="V94" s="11"/>
      <c r="W94" s="11"/>
      <c r="X94" s="11"/>
    </row>
    <row r="95" spans="1:24">
      <c r="A95" s="11"/>
      <c r="B95" s="11"/>
      <c r="C95" s="11"/>
      <c r="D95" s="11"/>
      <c r="E95" s="11"/>
      <c r="F95" s="11"/>
      <c r="G95" s="11"/>
      <c r="H95" s="11"/>
      <c r="I95" s="11"/>
      <c r="J95" s="11"/>
      <c r="K95" s="11"/>
      <c r="L95" s="11"/>
      <c r="M95" s="11"/>
      <c r="N95" s="11"/>
      <c r="O95" s="11"/>
      <c r="P95" s="11"/>
      <c r="Q95" s="11"/>
      <c r="R95" s="11"/>
      <c r="S95" s="11"/>
      <c r="T95" s="11"/>
      <c r="U95" s="11"/>
      <c r="V95" s="11"/>
      <c r="W95" s="11"/>
      <c r="X95" s="11"/>
    </row>
    <row r="96" spans="1:24">
      <c r="A96" s="11"/>
      <c r="B96" s="11"/>
      <c r="C96" s="11"/>
      <c r="D96" s="11"/>
      <c r="E96" s="11"/>
      <c r="F96" s="11"/>
      <c r="G96" s="11"/>
      <c r="H96" s="11"/>
      <c r="I96" s="11"/>
      <c r="J96" s="11"/>
      <c r="K96" s="11"/>
      <c r="L96" s="11"/>
      <c r="M96" s="11"/>
      <c r="N96" s="11"/>
      <c r="O96" s="11"/>
      <c r="P96" s="11"/>
      <c r="Q96" s="11"/>
      <c r="R96" s="11"/>
      <c r="S96" s="11"/>
      <c r="T96" s="11"/>
      <c r="U96" s="11"/>
      <c r="V96" s="11"/>
      <c r="W96" s="11"/>
      <c r="X96" s="11"/>
    </row>
    <row r="97" spans="1:24">
      <c r="A97" s="11"/>
      <c r="B97" s="11"/>
      <c r="C97" s="11"/>
      <c r="D97" s="11"/>
      <c r="E97" s="11"/>
      <c r="F97" s="11"/>
      <c r="G97" s="11"/>
      <c r="H97" s="11"/>
      <c r="I97" s="11"/>
      <c r="J97" s="11"/>
      <c r="K97" s="11"/>
      <c r="L97" s="11"/>
      <c r="M97" s="11"/>
      <c r="N97" s="11"/>
      <c r="O97" s="11"/>
      <c r="P97" s="11"/>
      <c r="Q97" s="11"/>
      <c r="R97" s="11"/>
      <c r="S97" s="11"/>
      <c r="T97" s="11"/>
      <c r="U97" s="11"/>
      <c r="V97" s="11"/>
      <c r="W97" s="11"/>
      <c r="X97" s="11"/>
    </row>
    <row r="98" spans="1:24">
      <c r="A98" s="11"/>
      <c r="B98" s="11"/>
      <c r="C98" s="11"/>
      <c r="D98" s="11"/>
      <c r="E98" s="11"/>
      <c r="F98" s="11"/>
      <c r="G98" s="11"/>
      <c r="H98" s="11"/>
      <c r="I98" s="11"/>
      <c r="J98" s="11"/>
      <c r="K98" s="11"/>
      <c r="L98" s="11"/>
      <c r="M98" s="11"/>
      <c r="N98" s="11"/>
      <c r="O98" s="11"/>
      <c r="P98" s="11"/>
      <c r="Q98" s="11"/>
      <c r="R98" s="11"/>
      <c r="S98" s="11"/>
      <c r="T98" s="11"/>
      <c r="U98" s="11"/>
      <c r="V98" s="11"/>
      <c r="W98" s="11"/>
      <c r="X98" s="11"/>
    </row>
    <row r="99" spans="1:24">
      <c r="A99" s="11"/>
      <c r="B99" s="11"/>
      <c r="C99" s="11"/>
      <c r="D99" s="11"/>
      <c r="E99" s="11"/>
      <c r="F99" s="11"/>
      <c r="G99" s="11"/>
      <c r="H99" s="11"/>
      <c r="I99" s="11"/>
      <c r="J99" s="11"/>
      <c r="K99" s="11"/>
      <c r="L99" s="11"/>
      <c r="M99" s="11"/>
      <c r="N99" s="11"/>
      <c r="O99" s="11"/>
      <c r="P99" s="11"/>
      <c r="Q99" s="11"/>
      <c r="R99" s="11"/>
      <c r="S99" s="11"/>
      <c r="T99" s="11"/>
      <c r="U99" s="11"/>
      <c r="V99" s="11"/>
      <c r="W99" s="11"/>
      <c r="X99" s="11"/>
    </row>
    <row r="100" spans="1:24">
      <c r="A100" s="11"/>
      <c r="B100" s="11"/>
      <c r="C100" s="11"/>
      <c r="D100" s="11"/>
      <c r="E100" s="11"/>
      <c r="F100" s="11"/>
      <c r="G100" s="11"/>
      <c r="H100" s="11"/>
      <c r="I100" s="11"/>
      <c r="J100" s="11"/>
      <c r="K100" s="11"/>
      <c r="L100" s="11"/>
      <c r="M100" s="11"/>
      <c r="N100" s="11"/>
      <c r="O100" s="11"/>
      <c r="P100" s="11"/>
      <c r="Q100" s="11"/>
      <c r="R100" s="11"/>
      <c r="S100" s="11"/>
      <c r="T100" s="11"/>
      <c r="U100" s="11"/>
      <c r="V100" s="11"/>
      <c r="W100" s="11"/>
      <c r="X100" s="11"/>
    </row>
    <row r="101" spans="1:24">
      <c r="A101" s="11"/>
      <c r="B101" s="11"/>
      <c r="C101" s="11"/>
      <c r="D101" s="11"/>
      <c r="E101" s="11"/>
      <c r="F101" s="11"/>
      <c r="G101" s="11"/>
      <c r="H101" s="11"/>
      <c r="I101" s="11"/>
      <c r="J101" s="11"/>
      <c r="K101" s="11"/>
      <c r="L101" s="11"/>
      <c r="M101" s="11"/>
      <c r="N101" s="11"/>
      <c r="O101" s="11"/>
      <c r="P101" s="11"/>
      <c r="Q101" s="11"/>
      <c r="R101" s="11"/>
      <c r="S101" s="11"/>
      <c r="T101" s="11"/>
      <c r="U101" s="11"/>
      <c r="V101" s="11"/>
      <c r="W101" s="11"/>
      <c r="X101" s="11"/>
    </row>
    <row r="102" spans="1:24">
      <c r="A102" s="11"/>
      <c r="B102" s="11"/>
      <c r="C102" s="11"/>
      <c r="D102" s="11"/>
      <c r="E102" s="11"/>
      <c r="F102" s="11"/>
      <c r="G102" s="11"/>
      <c r="H102" s="11"/>
      <c r="I102" s="11"/>
      <c r="J102" s="11"/>
      <c r="K102" s="11"/>
      <c r="L102" s="11"/>
      <c r="M102" s="11"/>
      <c r="N102" s="11"/>
      <c r="O102" s="11"/>
      <c r="P102" s="11"/>
      <c r="Q102" s="11"/>
      <c r="R102" s="11"/>
      <c r="S102" s="11"/>
      <c r="T102" s="11"/>
      <c r="U102" s="11"/>
      <c r="V102" s="11"/>
      <c r="W102" s="11"/>
      <c r="X102" s="11"/>
    </row>
    <row r="103" spans="1:24">
      <c r="A103" s="11"/>
      <c r="B103" s="11"/>
      <c r="C103" s="11"/>
      <c r="D103" s="11"/>
      <c r="E103" s="11"/>
      <c r="F103" s="11"/>
      <c r="G103" s="11"/>
      <c r="H103" s="11"/>
      <c r="I103" s="11"/>
      <c r="J103" s="11"/>
      <c r="K103" s="11"/>
      <c r="L103" s="11"/>
      <c r="M103" s="11"/>
      <c r="N103" s="11"/>
      <c r="O103" s="11"/>
      <c r="P103" s="11"/>
      <c r="Q103" s="11"/>
      <c r="R103" s="11"/>
      <c r="S103" s="11"/>
      <c r="T103" s="11"/>
      <c r="U103" s="11"/>
      <c r="V103" s="11"/>
      <c r="W103" s="11"/>
      <c r="X103" s="11"/>
    </row>
    <row r="104" spans="1:24">
      <c r="A104" s="11"/>
      <c r="B104" s="11"/>
      <c r="C104" s="11"/>
      <c r="D104" s="11"/>
      <c r="E104" s="11"/>
      <c r="F104" s="11"/>
      <c r="G104" s="11"/>
      <c r="H104" s="11"/>
      <c r="I104" s="11"/>
      <c r="J104" s="11"/>
      <c r="K104" s="11"/>
      <c r="L104" s="11"/>
      <c r="M104" s="11"/>
      <c r="N104" s="11"/>
      <c r="O104" s="11"/>
      <c r="P104" s="11"/>
      <c r="Q104" s="11"/>
      <c r="R104" s="11"/>
      <c r="S104" s="11"/>
      <c r="T104" s="11"/>
      <c r="U104" s="11"/>
      <c r="V104" s="11"/>
      <c r="W104" s="11"/>
      <c r="X104" s="11"/>
    </row>
    <row r="105" spans="1:24">
      <c r="A105" s="11"/>
      <c r="B105" s="11"/>
      <c r="C105" s="11"/>
      <c r="D105" s="11"/>
      <c r="E105" s="11"/>
      <c r="F105" s="11"/>
      <c r="G105" s="11"/>
      <c r="H105" s="11"/>
      <c r="I105" s="11"/>
      <c r="J105" s="11"/>
      <c r="K105" s="11"/>
      <c r="L105" s="11"/>
      <c r="M105" s="11"/>
      <c r="N105" s="11"/>
      <c r="O105" s="11"/>
      <c r="P105" s="11"/>
      <c r="Q105" s="11"/>
      <c r="R105" s="11"/>
      <c r="S105" s="11"/>
      <c r="T105" s="11"/>
      <c r="U105" s="11"/>
      <c r="V105" s="11"/>
      <c r="W105" s="11"/>
      <c r="X105" s="11"/>
    </row>
    <row r="106" spans="1:24">
      <c r="A106" s="11"/>
      <c r="B106" s="11"/>
      <c r="C106" s="11"/>
      <c r="D106" s="11"/>
      <c r="E106" s="11"/>
      <c r="F106" s="11"/>
      <c r="G106" s="11"/>
      <c r="H106" s="11"/>
      <c r="I106" s="11"/>
      <c r="J106" s="11"/>
      <c r="K106" s="11"/>
      <c r="L106" s="11"/>
      <c r="M106" s="11"/>
      <c r="N106" s="11"/>
      <c r="O106" s="11"/>
      <c r="P106" s="11"/>
      <c r="Q106" s="11"/>
      <c r="R106" s="11"/>
      <c r="S106" s="11"/>
      <c r="T106" s="11"/>
      <c r="U106" s="11"/>
      <c r="V106" s="11"/>
      <c r="W106" s="11"/>
      <c r="X106" s="11"/>
    </row>
    <row r="107" spans="1:24">
      <c r="A107" s="11"/>
      <c r="B107" s="11"/>
      <c r="C107" s="11"/>
      <c r="D107" s="11"/>
      <c r="E107" s="11"/>
      <c r="F107" s="11"/>
      <c r="G107" s="11"/>
      <c r="H107" s="11"/>
      <c r="I107" s="11"/>
      <c r="J107" s="11"/>
      <c r="K107" s="11"/>
      <c r="L107" s="11"/>
      <c r="M107" s="11"/>
      <c r="N107" s="11"/>
      <c r="O107" s="11"/>
      <c r="P107" s="11"/>
      <c r="Q107" s="11"/>
      <c r="R107" s="11"/>
      <c r="S107" s="11"/>
      <c r="T107" s="11"/>
      <c r="U107" s="11"/>
      <c r="V107" s="11"/>
      <c r="W107" s="11"/>
      <c r="X107" s="11"/>
    </row>
    <row r="108" spans="1:24">
      <c r="A108" s="11"/>
      <c r="B108" s="11"/>
      <c r="C108" s="11"/>
      <c r="D108" s="11"/>
      <c r="E108" s="11"/>
      <c r="F108" s="11"/>
      <c r="G108" s="11"/>
      <c r="H108" s="11"/>
      <c r="I108" s="11"/>
      <c r="J108" s="11"/>
      <c r="K108" s="11"/>
      <c r="L108" s="11"/>
      <c r="M108" s="11"/>
      <c r="N108" s="11"/>
      <c r="O108" s="11"/>
      <c r="P108" s="11"/>
      <c r="Q108" s="11"/>
      <c r="R108" s="11"/>
      <c r="S108" s="11"/>
      <c r="T108" s="11"/>
      <c r="U108" s="11"/>
      <c r="V108" s="11"/>
      <c r="W108" s="11"/>
      <c r="X108" s="11"/>
    </row>
    <row r="109" spans="1:24">
      <c r="A109" s="11"/>
      <c r="B109" s="11"/>
      <c r="C109" s="11"/>
      <c r="D109" s="11"/>
      <c r="E109" s="11"/>
      <c r="F109" s="11"/>
      <c r="G109" s="11"/>
      <c r="H109" s="11"/>
      <c r="I109" s="11"/>
      <c r="J109" s="11"/>
      <c r="K109" s="11"/>
      <c r="L109" s="11"/>
      <c r="M109" s="11"/>
      <c r="N109" s="11"/>
      <c r="O109" s="11"/>
      <c r="P109" s="11"/>
      <c r="Q109" s="11"/>
      <c r="R109" s="11"/>
      <c r="S109" s="11"/>
      <c r="T109" s="11"/>
      <c r="U109" s="11"/>
      <c r="V109" s="11"/>
      <c r="W109" s="11"/>
      <c r="X109" s="11"/>
    </row>
    <row r="110" spans="1:24">
      <c r="A110" s="11"/>
      <c r="B110" s="11"/>
      <c r="C110" s="11"/>
      <c r="D110" s="11"/>
      <c r="E110" s="11"/>
      <c r="F110" s="11"/>
      <c r="G110" s="11"/>
      <c r="H110" s="11"/>
      <c r="I110" s="11"/>
      <c r="J110" s="11"/>
      <c r="K110" s="11"/>
      <c r="L110" s="11"/>
      <c r="M110" s="11"/>
      <c r="N110" s="11"/>
      <c r="O110" s="11"/>
      <c r="P110" s="11"/>
      <c r="Q110" s="11"/>
      <c r="R110" s="11"/>
      <c r="S110" s="11"/>
      <c r="T110" s="11"/>
      <c r="U110" s="11"/>
      <c r="V110" s="11"/>
      <c r="W110" s="11"/>
      <c r="X110" s="11"/>
    </row>
    <row r="111" spans="1:24">
      <c r="A111" s="11"/>
      <c r="B111" s="11"/>
      <c r="C111" s="11"/>
      <c r="D111" s="11"/>
      <c r="E111" s="11"/>
      <c r="F111" s="11"/>
      <c r="G111" s="11"/>
      <c r="H111" s="11"/>
      <c r="I111" s="11"/>
      <c r="J111" s="11"/>
      <c r="K111" s="11"/>
      <c r="L111" s="11"/>
      <c r="M111" s="11"/>
      <c r="N111" s="11"/>
      <c r="O111" s="11"/>
      <c r="P111" s="11"/>
      <c r="Q111" s="11"/>
      <c r="R111" s="11"/>
      <c r="S111" s="11"/>
      <c r="T111" s="11"/>
      <c r="U111" s="11"/>
      <c r="V111" s="11"/>
      <c r="W111" s="11"/>
      <c r="X111" s="11"/>
    </row>
    <row r="112" spans="1:24">
      <c r="A112" s="11"/>
      <c r="B112" s="11"/>
      <c r="C112" s="11"/>
      <c r="D112" s="11"/>
      <c r="E112" s="11"/>
      <c r="F112" s="11"/>
      <c r="G112" s="11"/>
      <c r="H112" s="11"/>
      <c r="I112" s="11"/>
      <c r="J112" s="11"/>
      <c r="K112" s="11"/>
      <c r="L112" s="11"/>
      <c r="M112" s="11"/>
      <c r="N112" s="11"/>
      <c r="O112" s="11"/>
      <c r="P112" s="11"/>
      <c r="Q112" s="11"/>
      <c r="R112" s="11"/>
      <c r="S112" s="11"/>
      <c r="T112" s="11"/>
      <c r="U112" s="11"/>
      <c r="V112" s="11"/>
      <c r="W112" s="11"/>
      <c r="X112" s="11"/>
    </row>
    <row r="113" spans="1:24">
      <c r="A113" s="11"/>
      <c r="B113" s="11"/>
      <c r="C113" s="11"/>
      <c r="D113" s="11"/>
      <c r="E113" s="11"/>
      <c r="F113" s="11"/>
      <c r="G113" s="11"/>
      <c r="H113" s="11"/>
      <c r="I113" s="11"/>
      <c r="J113" s="11"/>
      <c r="K113" s="11"/>
      <c r="L113" s="11"/>
      <c r="M113" s="11"/>
      <c r="N113" s="11"/>
      <c r="O113" s="11"/>
      <c r="P113" s="11"/>
      <c r="Q113" s="11"/>
      <c r="R113" s="11"/>
      <c r="S113" s="11"/>
      <c r="T113" s="11"/>
      <c r="U113" s="11"/>
      <c r="V113" s="11"/>
      <c r="W113" s="11"/>
      <c r="X113" s="11"/>
    </row>
    <row r="114" spans="1:24">
      <c r="A114" s="11"/>
      <c r="B114" s="11"/>
      <c r="C114" s="11"/>
      <c r="D114" s="11"/>
      <c r="E114" s="11"/>
      <c r="F114" s="11"/>
      <c r="G114" s="11"/>
      <c r="H114" s="11"/>
      <c r="I114" s="11"/>
      <c r="J114" s="11"/>
      <c r="K114" s="11"/>
      <c r="L114" s="11"/>
      <c r="M114" s="11"/>
      <c r="N114" s="11"/>
      <c r="O114" s="11"/>
      <c r="P114" s="11"/>
      <c r="Q114" s="11"/>
      <c r="R114" s="11"/>
      <c r="S114" s="11"/>
      <c r="T114" s="11"/>
      <c r="U114" s="11"/>
      <c r="V114" s="11"/>
      <c r="W114" s="11"/>
      <c r="X114" s="11"/>
    </row>
    <row r="115" spans="1:24">
      <c r="A115" s="11"/>
      <c r="B115" s="11"/>
      <c r="C115" s="11"/>
      <c r="D115" s="11"/>
      <c r="E115" s="11"/>
      <c r="F115" s="11"/>
      <c r="G115" s="11"/>
      <c r="H115" s="11"/>
      <c r="I115" s="11"/>
      <c r="J115" s="11"/>
      <c r="K115" s="11"/>
      <c r="L115" s="11"/>
      <c r="M115" s="11"/>
      <c r="N115" s="11"/>
      <c r="O115" s="11"/>
      <c r="P115" s="11"/>
      <c r="Q115" s="11"/>
      <c r="R115" s="11"/>
      <c r="S115" s="11"/>
      <c r="T115" s="11"/>
      <c r="U115" s="11"/>
      <c r="V115" s="11"/>
      <c r="W115" s="11"/>
      <c r="X115" s="11"/>
    </row>
    <row r="116" spans="1:24">
      <c r="A116" s="11"/>
      <c r="B116" s="11"/>
      <c r="C116" s="11"/>
      <c r="D116" s="11"/>
      <c r="E116" s="11"/>
      <c r="F116" s="11"/>
      <c r="G116" s="11"/>
      <c r="H116" s="11"/>
      <c r="I116" s="11"/>
      <c r="J116" s="11"/>
      <c r="K116" s="11"/>
      <c r="L116" s="11"/>
      <c r="M116" s="11"/>
      <c r="N116" s="11"/>
      <c r="O116" s="11"/>
      <c r="P116" s="11"/>
      <c r="Q116" s="11"/>
      <c r="R116" s="11"/>
      <c r="S116" s="11"/>
      <c r="T116" s="11"/>
      <c r="U116" s="11"/>
      <c r="V116" s="11"/>
      <c r="W116" s="11"/>
      <c r="X116" s="11"/>
    </row>
    <row r="117" spans="1:24">
      <c r="A117" s="11"/>
      <c r="B117" s="11"/>
      <c r="C117" s="11"/>
      <c r="D117" s="11"/>
      <c r="E117" s="11"/>
      <c r="F117" s="11"/>
      <c r="G117" s="11"/>
      <c r="H117" s="11"/>
      <c r="I117" s="11"/>
      <c r="J117" s="11"/>
      <c r="K117" s="11"/>
      <c r="L117" s="11"/>
      <c r="M117" s="11"/>
      <c r="N117" s="11"/>
      <c r="O117" s="11"/>
      <c r="P117" s="11"/>
      <c r="Q117" s="11"/>
      <c r="R117" s="11"/>
      <c r="S117" s="11"/>
      <c r="T117" s="11"/>
      <c r="U117" s="11"/>
      <c r="V117" s="11"/>
      <c r="W117" s="11"/>
      <c r="X117" s="11"/>
    </row>
  </sheetData>
  <mergeCells count="13">
    <mergeCell ref="A12:G12"/>
    <mergeCell ref="A19:G19"/>
    <mergeCell ref="A15:G15"/>
    <mergeCell ref="A17:G17"/>
    <mergeCell ref="A13:G13"/>
    <mergeCell ref="A14:G14"/>
    <mergeCell ref="A16:G16"/>
    <mergeCell ref="A18:G18"/>
    <mergeCell ref="A7:G7"/>
    <mergeCell ref="A8:G8"/>
    <mergeCell ref="A9:G9"/>
    <mergeCell ref="A10:G10"/>
    <mergeCell ref="A11:G11"/>
  </mergeCells>
  <phoneticPr fontId="2" type="noConversion"/>
  <conditionalFormatting sqref="I13:K13">
    <cfRule type="expression" dxfId="6" priority="1" stopIfTrue="1">
      <formula>$K$6=0</formula>
    </cfRule>
    <cfRule type="expression" dxfId="5" priority="2" stopIfTrue="1">
      <formula>$H$13="Решение найдено с желаемой точностью!"</formula>
    </cfRule>
    <cfRule type="expression" dxfId="4" priority="3" stopIfTrue="1">
      <formula>$K$6&gt;0</formula>
    </cfRule>
  </conditionalFormatting>
  <conditionalFormatting sqref="H13">
    <cfRule type="expression" dxfId="3" priority="4" stopIfTrue="1">
      <formula>$K$6=0</formula>
    </cfRule>
    <cfRule type="expression" dxfId="2" priority="5" stopIfTrue="1">
      <formula>$H$13="Решение найдено с желаемой точностью!"</formula>
    </cfRule>
    <cfRule type="expression" dxfId="1" priority="6" stopIfTrue="1">
      <formula>$K$6&gt;0</formula>
    </cfRule>
  </conditionalFormatting>
  <conditionalFormatting sqref="H14:H18">
    <cfRule type="expression" dxfId="0" priority="7" stopIfTrue="1">
      <formula>$H$13="Решение найдено с желаемой точностью!"</formula>
    </cfRule>
  </conditionalFormatting>
  <pageMargins left="0.75" right="0.75" top="1" bottom="1" header="0.5" footer="0.5"/>
  <pageSetup paperSize="9" orientation="landscape" horizontalDpi="200" verticalDpi="2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272" r:id="rId4" name="List Box 248">
              <controlPr defaultSize="0" autoLine="0" autoPict="0">
                <anchor moveWithCells="1">
                  <from>
                    <xdr:col>6</xdr:col>
                    <xdr:colOff>14288</xdr:colOff>
                    <xdr:row>3</xdr:row>
                    <xdr:rowOff>304800</xdr:rowOff>
                  </from>
                  <to>
                    <xdr:col>8</xdr:col>
                    <xdr:colOff>14288</xdr:colOff>
                    <xdr:row>5</xdr:row>
                    <xdr:rowOff>214313</xdr:rowOff>
                  </to>
                </anchor>
              </controlPr>
            </control>
          </mc:Choice>
        </mc:AlternateContent>
        <mc:AlternateContent xmlns:mc="http://schemas.openxmlformats.org/markup-compatibility/2006">
          <mc:Choice Requires="x14">
            <control shapeId="1274" r:id="rId5" name="Drop Down 250">
              <controlPr defaultSize="0" autoLine="0" autoPict="0">
                <anchor moveWithCells="1">
                  <from>
                    <xdr:col>8</xdr:col>
                    <xdr:colOff>14288</xdr:colOff>
                    <xdr:row>5</xdr:row>
                    <xdr:rowOff>14288</xdr:rowOff>
                  </from>
                  <to>
                    <xdr:col>9</xdr:col>
                    <xdr:colOff>14288</xdr:colOff>
                    <xdr:row>6</xdr:row>
                    <xdr:rowOff>14288</xdr:rowOff>
                  </to>
                </anchor>
              </controlPr>
            </control>
          </mc:Choice>
        </mc:AlternateContent>
        <mc:AlternateContent xmlns:mc="http://schemas.openxmlformats.org/markup-compatibility/2006">
          <mc:Choice Requires="x14">
            <control shapeId="1277" r:id="rId6" name="Button 253">
              <controlPr defaultSize="0" print="0" autoFill="0" autoPict="0" macro="[0]!CheckTimeForIteration">
                <anchor moveWithCells="1" sizeWithCells="1">
                  <from>
                    <xdr:col>0</xdr:col>
                    <xdr:colOff>114300</xdr:colOff>
                    <xdr:row>24</xdr:row>
                    <xdr:rowOff>90488</xdr:rowOff>
                  </from>
                  <to>
                    <xdr:col>2</xdr:col>
                    <xdr:colOff>547688</xdr:colOff>
                    <xdr:row>26</xdr:row>
                    <xdr:rowOff>138113</xdr:rowOff>
                  </to>
                </anchor>
              </controlPr>
            </control>
          </mc:Choice>
        </mc:AlternateContent>
        <mc:AlternateContent xmlns:mc="http://schemas.openxmlformats.org/markup-compatibility/2006">
          <mc:Choice Requires="x14">
            <control shapeId="1278" r:id="rId7" name="Button 254">
              <controlPr defaultSize="0" print="0" autoFill="0" autoPict="0" macro="[0]!CheckTimeWithTolerance">
                <anchor moveWithCells="1" sizeWithCells="1">
                  <from>
                    <xdr:col>3</xdr:col>
                    <xdr:colOff>252413</xdr:colOff>
                    <xdr:row>24</xdr:row>
                    <xdr:rowOff>138113</xdr:rowOff>
                  </from>
                  <to>
                    <xdr:col>6</xdr:col>
                    <xdr:colOff>90488</xdr:colOff>
                    <xdr:row>27</xdr:row>
                    <xdr:rowOff>23813</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H76"/>
  <sheetViews>
    <sheetView topLeftCell="A16" workbookViewId="0">
      <selection activeCell="F45" sqref="F45"/>
    </sheetView>
  </sheetViews>
  <sheetFormatPr defaultColWidth="8.796875" defaultRowHeight="12.75"/>
  <cols>
    <col min="1" max="1" width="3.33203125" customWidth="1"/>
    <col min="2" max="2" width="11.1328125" customWidth="1"/>
    <col min="3" max="7" width="12.33203125" customWidth="1"/>
    <col min="8" max="8" width="15.33203125" customWidth="1"/>
  </cols>
  <sheetData>
    <row r="1" spans="1:8" ht="17.25">
      <c r="A1" s="56" t="s">
        <v>14</v>
      </c>
      <c r="B1" s="8"/>
      <c r="C1" s="8"/>
      <c r="D1" s="8"/>
      <c r="E1" s="8"/>
      <c r="F1" s="8"/>
      <c r="G1" s="8"/>
      <c r="H1" s="8"/>
    </row>
    <row r="2" spans="1:8">
      <c r="A2" s="57" t="s">
        <v>6</v>
      </c>
      <c r="B2" s="8"/>
      <c r="C2" s="8"/>
      <c r="D2" s="8"/>
      <c r="E2" s="8"/>
      <c r="F2" s="8"/>
      <c r="G2" s="8"/>
      <c r="H2" s="8"/>
    </row>
    <row r="3" spans="1:8">
      <c r="A3" s="57" t="s">
        <v>7</v>
      </c>
      <c r="B3" s="8"/>
      <c r="C3" s="8"/>
      <c r="D3" s="8"/>
      <c r="E3" s="8"/>
      <c r="F3" s="8"/>
      <c r="G3" s="8"/>
      <c r="H3" s="8"/>
    </row>
    <row r="4" spans="1:8" ht="13.15">
      <c r="A4" s="58" t="s">
        <v>46</v>
      </c>
    </row>
    <row r="5" spans="1:8">
      <c r="A5" t="s">
        <v>47</v>
      </c>
    </row>
    <row r="6" spans="1:8">
      <c r="A6" t="s">
        <v>48</v>
      </c>
    </row>
    <row r="7" spans="1:8">
      <c r="A7" t="s">
        <v>49</v>
      </c>
    </row>
    <row r="8" spans="1:8">
      <c r="A8" t="s">
        <v>53</v>
      </c>
    </row>
    <row r="10" spans="1:8" ht="13.5" thickBot="1">
      <c r="A10" s="59" t="s">
        <v>52</v>
      </c>
      <c r="B10" s="8"/>
      <c r="C10" s="8"/>
      <c r="D10" s="8"/>
      <c r="E10" s="8"/>
      <c r="F10" s="8"/>
      <c r="G10" s="8"/>
      <c r="H10" s="8"/>
    </row>
    <row r="11" spans="1:8" ht="21" thickBot="1">
      <c r="A11" s="93" t="s">
        <v>1</v>
      </c>
      <c r="B11" s="93" t="s">
        <v>2</v>
      </c>
      <c r="C11" s="93" t="s">
        <v>4</v>
      </c>
      <c r="D11" s="93" t="s">
        <v>3</v>
      </c>
      <c r="E11" s="93" t="s">
        <v>5</v>
      </c>
      <c r="F11" s="93" t="s">
        <v>50</v>
      </c>
      <c r="G11" s="93" t="s">
        <v>8</v>
      </c>
      <c r="H11" s="93" t="s">
        <v>35</v>
      </c>
    </row>
    <row r="12" spans="1:8">
      <c r="A12" s="72">
        <v>1</v>
      </c>
      <c r="B12" s="73">
        <v>2289.229952648634</v>
      </c>
      <c r="C12" s="74">
        <v>2.0625569357154173E+32</v>
      </c>
      <c r="D12" s="74">
        <v>1.3803248804239379E+35</v>
      </c>
      <c r="E12" s="74">
        <v>3.3413422358589759E+35</v>
      </c>
      <c r="F12" s="74">
        <v>40</v>
      </c>
      <c r="G12" s="95">
        <v>0.1</v>
      </c>
      <c r="H12" s="75">
        <v>100000000000</v>
      </c>
    </row>
    <row r="13" spans="1:8">
      <c r="A13" s="76">
        <v>2</v>
      </c>
      <c r="B13" s="77">
        <v>1979.7356034743502</v>
      </c>
      <c r="C13" s="78">
        <v>4.4162916116747347E+32</v>
      </c>
      <c r="D13" s="138">
        <v>1.5886973280445074E+35</v>
      </c>
      <c r="E13" s="78">
        <v>7.1543924109130705E+35</v>
      </c>
      <c r="F13" s="78">
        <v>45</v>
      </c>
      <c r="G13" s="94">
        <v>0.01</v>
      </c>
      <c r="H13" s="79">
        <v>100000000000</v>
      </c>
    </row>
    <row r="14" spans="1:8">
      <c r="A14" s="76">
        <v>3</v>
      </c>
      <c r="B14" s="137">
        <v>2004.0895051600792</v>
      </c>
      <c r="C14" s="1">
        <v>4.1421446816655648E+32</v>
      </c>
      <c r="D14" s="1">
        <v>1.5909543010823777E+35</v>
      </c>
      <c r="E14" s="1">
        <v>6.7102743842982148E+35</v>
      </c>
      <c r="F14" s="1">
        <v>50</v>
      </c>
      <c r="G14" s="94">
        <v>1.0000000000000002E-3</v>
      </c>
      <c r="H14" s="79">
        <v>100000000000</v>
      </c>
    </row>
    <row r="15" spans="1:8">
      <c r="A15" s="76">
        <v>4</v>
      </c>
      <c r="B15" s="77">
        <v>2002.21390583012</v>
      </c>
      <c r="C15" s="78">
        <v>4.1625236201690329E+32</v>
      </c>
      <c r="D15" s="78">
        <v>1.5909744109749344E+35</v>
      </c>
      <c r="E15" s="78">
        <v>6.7432882646738336E+35</v>
      </c>
      <c r="F15" s="78">
        <v>54</v>
      </c>
      <c r="G15" s="94">
        <v>1.0000000000000003E-4</v>
      </c>
      <c r="H15" s="79">
        <v>100000000000</v>
      </c>
    </row>
    <row r="16" spans="1:8">
      <c r="A16" s="76">
        <v>5</v>
      </c>
      <c r="B16" s="77">
        <v>2001.9691491795188</v>
      </c>
      <c r="C16" s="78">
        <v>4.165191770612765E+32</v>
      </c>
      <c r="D16" s="78">
        <v>1.5909747567904886E+35</v>
      </c>
      <c r="E16" s="78">
        <v>6.7476106683926786E+35</v>
      </c>
      <c r="F16" s="78">
        <v>59</v>
      </c>
      <c r="G16" s="94">
        <v>1.0000000000000006E-5</v>
      </c>
      <c r="H16" s="79">
        <v>100000000000</v>
      </c>
    </row>
    <row r="17" spans="1:8">
      <c r="A17" s="76">
        <v>6</v>
      </c>
      <c r="B17" s="77">
        <v>2001.9292247290668</v>
      </c>
      <c r="C17" s="78">
        <v>4.1656271897102553E+32</v>
      </c>
      <c r="D17" s="78">
        <v>1.5909747630763565E+35</v>
      </c>
      <c r="E17" s="78">
        <v>6.7483160473306134E+35</v>
      </c>
      <c r="F17" s="78">
        <v>64</v>
      </c>
      <c r="G17" s="94">
        <v>1.0000000000000006E-6</v>
      </c>
      <c r="H17" s="79">
        <v>100000000000</v>
      </c>
    </row>
    <row r="18" spans="1:8">
      <c r="A18" s="76">
        <v>7</v>
      </c>
      <c r="B18" s="77">
        <v>2001.9315948126573</v>
      </c>
      <c r="C18" s="78">
        <v>4.1656013398848243E+32</v>
      </c>
      <c r="D18" s="78">
        <v>1.5909747630959506E+35</v>
      </c>
      <c r="E18" s="78">
        <v>6.7482741706134149E+35</v>
      </c>
      <c r="F18" s="78">
        <v>69</v>
      </c>
      <c r="G18" s="94">
        <v>1.0000000000000006E-7</v>
      </c>
      <c r="H18" s="79">
        <v>100000000000</v>
      </c>
    </row>
    <row r="19" spans="1:8">
      <c r="A19" s="76">
        <v>8</v>
      </c>
      <c r="B19" s="77">
        <v>2001.931394192344</v>
      </c>
      <c r="C19" s="78">
        <v>4.1656035279859331E+32</v>
      </c>
      <c r="D19" s="78">
        <v>1.5909747630962227E+35</v>
      </c>
      <c r="E19" s="78">
        <v>6.7482777153372119E+35</v>
      </c>
      <c r="F19" s="78">
        <v>74</v>
      </c>
      <c r="G19" s="94">
        <v>1.0000000000000008E-8</v>
      </c>
      <c r="H19" s="79">
        <v>100000000000</v>
      </c>
    </row>
    <row r="20" spans="1:8">
      <c r="A20" s="76">
        <v>9</v>
      </c>
      <c r="B20" s="77">
        <v>2001.9313830121571</v>
      </c>
      <c r="C20" s="78">
        <v>4.1656036499246559E+32</v>
      </c>
      <c r="D20" s="78">
        <v>1.5909747630962216E+35</v>
      </c>
      <c r="E20" s="78">
        <v>6.7482779128779428E+35</v>
      </c>
      <c r="F20" s="78">
        <v>78</v>
      </c>
      <c r="G20" s="94">
        <v>1.0000000000000009E-9</v>
      </c>
      <c r="H20" s="79">
        <v>100000000000</v>
      </c>
    </row>
    <row r="21" spans="1:8">
      <c r="A21" s="76">
        <v>10</v>
      </c>
      <c r="B21" s="77">
        <v>2001.9313813809897</v>
      </c>
      <c r="C21" s="78">
        <v>4.1656036677153033E+32</v>
      </c>
      <c r="D21" s="78">
        <v>1.5909747630962203E+35</v>
      </c>
      <c r="E21" s="78">
        <v>6.7482779416987919E+35</v>
      </c>
      <c r="F21" s="78">
        <v>83</v>
      </c>
      <c r="G21" s="94">
        <v>1.0000000000000009E-10</v>
      </c>
      <c r="H21" s="79">
        <v>100000000000</v>
      </c>
    </row>
    <row r="22" spans="1:8">
      <c r="A22" s="76">
        <v>11</v>
      </c>
      <c r="B22" s="77">
        <v>2001.9313811681304</v>
      </c>
      <c r="C22" s="78">
        <v>4.165603670036883E+32</v>
      </c>
      <c r="D22" s="78">
        <v>1.5909747630962172E+35</v>
      </c>
      <c r="E22" s="78">
        <v>6.748277945459751E+35</v>
      </c>
      <c r="F22" s="78">
        <v>88</v>
      </c>
      <c r="G22" s="94">
        <v>1.0000000000000011E-11</v>
      </c>
      <c r="H22" s="79">
        <v>100000000000</v>
      </c>
    </row>
    <row r="23" spans="1:8">
      <c r="A23" s="76">
        <v>12</v>
      </c>
      <c r="B23" s="137">
        <v>2001.9313811444058</v>
      </c>
      <c r="C23" s="1">
        <v>4.1656036702956317E+32</v>
      </c>
      <c r="D23" s="1">
        <v>1.5909747630962142E+35</v>
      </c>
      <c r="E23" s="1">
        <v>6.748277945878923E+35</v>
      </c>
      <c r="F23" s="1">
        <v>93</v>
      </c>
      <c r="G23" s="94">
        <v>1.0000000000000012E-12</v>
      </c>
      <c r="H23" s="114">
        <v>100000000000</v>
      </c>
    </row>
    <row r="24" spans="1:8" ht="13.15" thickBot="1">
      <c r="A24" s="80">
        <v>13</v>
      </c>
      <c r="B24" s="81">
        <v>2001.93138114321</v>
      </c>
      <c r="C24" s="82">
        <v>4.1656036703086554E+32</v>
      </c>
      <c r="D24" s="82">
        <v>1.5909747630962185E+35</v>
      </c>
      <c r="E24" s="82">
        <v>6.7482779459000216E+35</v>
      </c>
      <c r="F24" s="82">
        <v>98</v>
      </c>
      <c r="G24" s="96">
        <v>1.0000000000000014E-13</v>
      </c>
      <c r="H24" s="115">
        <v>100000000000</v>
      </c>
    </row>
    <row r="25" spans="1:8">
      <c r="A25" s="8"/>
      <c r="B25" s="8"/>
      <c r="C25" s="8"/>
      <c r="D25" s="8"/>
      <c r="E25" s="8"/>
      <c r="F25" s="8"/>
      <c r="G25" s="92"/>
    </row>
    <row r="26" spans="1:8" ht="13.5" thickBot="1">
      <c r="A26" s="59" t="s">
        <v>51</v>
      </c>
      <c r="B26" s="8"/>
      <c r="C26" s="8"/>
      <c r="D26" s="8"/>
      <c r="E26" s="8"/>
      <c r="F26" s="8"/>
      <c r="G26" s="92"/>
      <c r="H26" s="8"/>
    </row>
    <row r="27" spans="1:8" ht="21" thickBot="1">
      <c r="A27" s="93" t="s">
        <v>1</v>
      </c>
      <c r="B27" s="93" t="s">
        <v>2</v>
      </c>
      <c r="C27" s="93" t="s">
        <v>4</v>
      </c>
      <c r="D27" s="93" t="s">
        <v>3</v>
      </c>
      <c r="E27" s="93" t="s">
        <v>5</v>
      </c>
      <c r="F27" s="93" t="s">
        <v>50</v>
      </c>
      <c r="G27" s="93" t="s">
        <v>8</v>
      </c>
      <c r="H27" s="93" t="s">
        <v>35</v>
      </c>
    </row>
    <row r="28" spans="1:8">
      <c r="A28" s="72">
        <v>1</v>
      </c>
      <c r="B28" s="73">
        <v>2001.931394192344</v>
      </c>
      <c r="C28" s="74">
        <v>4.1656035279859331E+32</v>
      </c>
      <c r="D28" s="74">
        <v>1.5909747630962227E+35</v>
      </c>
      <c r="E28" s="74">
        <v>6.7482777153372119E+35</v>
      </c>
      <c r="F28" s="74">
        <v>74</v>
      </c>
      <c r="G28" s="95">
        <v>1.0000000000000008E-8</v>
      </c>
      <c r="H28" s="75">
        <v>100000000000</v>
      </c>
    </row>
    <row r="29" spans="1:8">
      <c r="A29" s="76">
        <v>2</v>
      </c>
      <c r="B29" s="77">
        <v>2001.9313936923504</v>
      </c>
      <c r="C29" s="78">
        <v>4.1656035334392007E+32</v>
      </c>
      <c r="D29" s="78">
        <v>1.5909747630962105E+35</v>
      </c>
      <c r="E29" s="78">
        <v>6.7482777241715052E+35</v>
      </c>
      <c r="F29" s="78">
        <v>69</v>
      </c>
      <c r="G29" s="94">
        <v>1.0000000000000008E-8</v>
      </c>
      <c r="H29" s="79">
        <v>10000000000</v>
      </c>
    </row>
    <row r="30" spans="1:8">
      <c r="A30" s="76">
        <v>3</v>
      </c>
      <c r="B30" s="77">
        <v>2001.9314003963595</v>
      </c>
      <c r="C30" s="78">
        <v>4.1656034603207214E+32</v>
      </c>
      <c r="D30" s="78">
        <v>1.5909747630962114E+35</v>
      </c>
      <c r="E30" s="78">
        <v>6.7482776057195692E+35</v>
      </c>
      <c r="F30" s="78">
        <v>64</v>
      </c>
      <c r="G30" s="94">
        <v>1.0000000000000008E-8</v>
      </c>
      <c r="H30" s="79">
        <v>1000000000</v>
      </c>
    </row>
    <row r="31" spans="1:8">
      <c r="A31" s="76">
        <v>4</v>
      </c>
      <c r="B31" s="77">
        <v>2001.9314037614538</v>
      </c>
      <c r="C31" s="78">
        <v>4.1656034236187148E+32</v>
      </c>
      <c r="D31" s="78">
        <v>1.5909747630962109E+35</v>
      </c>
      <c r="E31" s="78">
        <v>6.7482775462623173E+35</v>
      </c>
      <c r="F31" s="78">
        <v>59</v>
      </c>
      <c r="G31" s="94">
        <v>1.0000000000000008E-8</v>
      </c>
      <c r="H31" s="79">
        <v>100000000</v>
      </c>
    </row>
    <row r="32" spans="1:8">
      <c r="A32" s="76">
        <v>5</v>
      </c>
      <c r="B32" s="77">
        <v>2001.9313759753345</v>
      </c>
      <c r="C32" s="78">
        <v>4.1656037266730559E+32</v>
      </c>
      <c r="D32" s="78">
        <v>1.5909747630962185E+35</v>
      </c>
      <c r="E32" s="78">
        <v>6.7482780372103511E+35</v>
      </c>
      <c r="F32" s="78">
        <v>54</v>
      </c>
      <c r="G32" s="94">
        <v>1.0000000000000008E-8</v>
      </c>
      <c r="H32" s="79">
        <v>10000000</v>
      </c>
    </row>
    <row r="33" spans="1:8">
      <c r="A33" s="76">
        <v>6</v>
      </c>
      <c r="B33" s="77">
        <v>2001.931397935233</v>
      </c>
      <c r="C33" s="78">
        <v>4.1656034871634449E+32</v>
      </c>
      <c r="D33" s="78">
        <v>1.5909747630962131E+35</v>
      </c>
      <c r="E33" s="78">
        <v>6.7482776492047814E+35</v>
      </c>
      <c r="F33" s="78">
        <v>50</v>
      </c>
      <c r="G33" s="94">
        <v>1.0000000000000008E-8</v>
      </c>
      <c r="H33" s="79">
        <v>1000000</v>
      </c>
    </row>
    <row r="34" spans="1:8">
      <c r="A34" s="76">
        <v>7</v>
      </c>
      <c r="B34" s="77">
        <v>2001.931399292429</v>
      </c>
      <c r="C34" s="78">
        <v>4.1656034723609329E+32</v>
      </c>
      <c r="D34" s="78">
        <v>1.5909747630962096E+35</v>
      </c>
      <c r="E34" s="78">
        <v>6.7482776252247107E+35</v>
      </c>
      <c r="F34" s="78">
        <v>45</v>
      </c>
      <c r="G34" s="94">
        <v>1.0000000000000008E-8</v>
      </c>
      <c r="H34" s="79">
        <v>100000</v>
      </c>
    </row>
    <row r="35" spans="1:8">
      <c r="A35" s="76">
        <v>8</v>
      </c>
      <c r="B35" s="77">
        <v>2001.9313562306977</v>
      </c>
      <c r="C35" s="78">
        <v>4.1656039420215395E+32</v>
      </c>
      <c r="D35" s="78">
        <v>1.5909747630962245E+35</v>
      </c>
      <c r="E35" s="78">
        <v>6.7482783860748946E+35</v>
      </c>
      <c r="F35" s="78">
        <v>40</v>
      </c>
      <c r="G35" s="94">
        <v>1.0000000000000008E-8</v>
      </c>
      <c r="H35" s="79">
        <v>10000</v>
      </c>
    </row>
    <row r="36" spans="1:8">
      <c r="A36" s="76">
        <v>9</v>
      </c>
      <c r="B36" s="77">
        <v>2001.9313799011061</v>
      </c>
      <c r="C36" s="78">
        <v>4.1656036838559003E+32</v>
      </c>
      <c r="D36" s="78">
        <v>1.590974763096212E+35</v>
      </c>
      <c r="E36" s="78">
        <v>6.7482779678465587E+35</v>
      </c>
      <c r="F36" s="78">
        <v>35</v>
      </c>
      <c r="G36" s="94">
        <v>1.0000000000000008E-8</v>
      </c>
      <c r="H36" s="79">
        <v>1000</v>
      </c>
    </row>
    <row r="37" spans="1:8">
      <c r="A37" s="76">
        <v>10</v>
      </c>
      <c r="B37" s="77">
        <v>2001.931384040553</v>
      </c>
      <c r="C37" s="78">
        <v>4.1656036387082854E+32</v>
      </c>
      <c r="D37" s="78">
        <v>1.5909747630962164E+35</v>
      </c>
      <c r="E37" s="78">
        <v>6.7482778947074217E+35</v>
      </c>
      <c r="F37" s="78">
        <v>31</v>
      </c>
      <c r="G37" s="94">
        <v>1.0000000000000008E-8</v>
      </c>
      <c r="H37" s="79">
        <v>100</v>
      </c>
    </row>
    <row r="38" spans="1:8">
      <c r="A38" s="76">
        <v>11</v>
      </c>
      <c r="B38" s="77">
        <v>2001.9313511213463</v>
      </c>
      <c r="C38" s="78">
        <v>4.1656039977475947E+32</v>
      </c>
      <c r="D38" s="78">
        <v>1.5909747630962175E+35</v>
      </c>
      <c r="E38" s="78">
        <v>6.7482784763511041E+35</v>
      </c>
      <c r="F38" s="78">
        <v>26</v>
      </c>
      <c r="G38" s="94">
        <v>1.0000000000000008E-8</v>
      </c>
      <c r="H38" s="79">
        <v>10</v>
      </c>
    </row>
    <row r="39" spans="1:8" ht="13.15" thickBot="1">
      <c r="A39" s="80">
        <v>12</v>
      </c>
      <c r="B39" s="81">
        <v>2001.9313963260847</v>
      </c>
      <c r="C39" s="82">
        <v>4.1656035047139006E+32</v>
      </c>
      <c r="D39" s="82">
        <v>1.5909747630962096E+35</v>
      </c>
      <c r="E39" s="82">
        <v>6.7482776776365193E+35</v>
      </c>
      <c r="F39" s="82">
        <v>21</v>
      </c>
      <c r="G39" s="96">
        <v>1.0000000000000008E-8</v>
      </c>
      <c r="H39" s="83">
        <v>1</v>
      </c>
    </row>
    <row r="40" spans="1:8">
      <c r="A40" s="11"/>
      <c r="B40" s="60"/>
      <c r="C40" s="11"/>
      <c r="D40" s="11"/>
      <c r="E40" s="11"/>
      <c r="F40" s="11"/>
      <c r="G40" s="11"/>
    </row>
    <row r="41" spans="1:8">
      <c r="A41" s="11"/>
      <c r="B41" s="60"/>
      <c r="C41" s="11"/>
      <c r="D41" s="11"/>
      <c r="E41" s="11"/>
      <c r="F41" s="11"/>
      <c r="G41" s="11"/>
      <c r="H41" s="61"/>
    </row>
    <row r="42" spans="1:8">
      <c r="A42" s="11"/>
      <c r="B42" s="60"/>
      <c r="C42" s="11"/>
      <c r="D42" s="11"/>
      <c r="E42" s="11"/>
      <c r="F42" s="11"/>
      <c r="G42" s="11"/>
      <c r="H42" s="61"/>
    </row>
    <row r="43" spans="1:8">
      <c r="A43" s="11"/>
      <c r="B43" s="60"/>
      <c r="C43" s="11"/>
      <c r="D43" s="11"/>
      <c r="E43" s="11"/>
      <c r="F43" s="11"/>
      <c r="G43" s="11"/>
      <c r="H43" s="61"/>
    </row>
    <row r="44" spans="1:8">
      <c r="A44" s="11"/>
      <c r="B44" s="60"/>
      <c r="C44" s="11"/>
      <c r="D44" s="11"/>
      <c r="E44" s="11"/>
      <c r="F44" s="11"/>
      <c r="G44" s="11"/>
      <c r="H44" s="61"/>
    </row>
    <row r="45" spans="1:8">
      <c r="A45" s="11"/>
      <c r="B45" s="60"/>
      <c r="C45" s="11"/>
      <c r="D45" s="11"/>
      <c r="E45" s="11"/>
      <c r="F45" s="11"/>
      <c r="G45" s="11"/>
      <c r="H45" s="61"/>
    </row>
    <row r="46" spans="1:8">
      <c r="A46" s="11"/>
      <c r="B46" s="60"/>
      <c r="C46" s="11"/>
      <c r="D46" s="11"/>
      <c r="E46" s="11"/>
      <c r="F46" s="11"/>
      <c r="G46" s="11"/>
      <c r="H46" s="61"/>
    </row>
    <row r="47" spans="1:8">
      <c r="A47" s="11"/>
      <c r="B47" s="60"/>
      <c r="C47" s="11"/>
      <c r="D47" s="11"/>
      <c r="E47" s="11"/>
      <c r="F47" s="11"/>
      <c r="G47" s="11"/>
      <c r="H47" s="61"/>
    </row>
    <row r="48" spans="1:8">
      <c r="A48" s="11"/>
      <c r="B48" s="60"/>
      <c r="C48" s="11"/>
      <c r="D48" s="11"/>
      <c r="E48" s="11"/>
      <c r="F48" s="11"/>
      <c r="G48" s="11"/>
      <c r="H48" s="61"/>
    </row>
    <row r="49" spans="1:8">
      <c r="A49" s="11"/>
      <c r="B49" s="60"/>
      <c r="C49" s="11"/>
      <c r="D49" s="11"/>
      <c r="E49" s="11"/>
      <c r="F49" s="11"/>
      <c r="G49" s="11"/>
      <c r="H49" s="61"/>
    </row>
    <row r="50" spans="1:8">
      <c r="A50" s="11"/>
      <c r="B50" s="60"/>
      <c r="C50" s="11"/>
      <c r="D50" s="11"/>
      <c r="E50" s="11"/>
      <c r="F50" s="11"/>
      <c r="G50" s="11"/>
      <c r="H50" s="61"/>
    </row>
    <row r="51" spans="1:8">
      <c r="A51" s="11"/>
      <c r="B51" s="60"/>
      <c r="C51" s="11"/>
      <c r="D51" s="11"/>
      <c r="E51" s="11"/>
      <c r="F51" s="11"/>
      <c r="G51" s="11"/>
      <c r="H51" s="62"/>
    </row>
    <row r="52" spans="1:8">
      <c r="A52" s="11"/>
      <c r="B52" s="60"/>
      <c r="C52" s="11"/>
      <c r="D52" s="11"/>
      <c r="E52" s="11"/>
      <c r="F52" s="11"/>
      <c r="G52" s="11"/>
      <c r="H52" s="62"/>
    </row>
    <row r="53" spans="1:8">
      <c r="A53" s="11"/>
      <c r="B53" s="60"/>
      <c r="C53" s="11"/>
      <c r="D53" s="11"/>
      <c r="E53" s="11"/>
      <c r="F53" s="11"/>
      <c r="G53" s="11"/>
      <c r="H53" s="62"/>
    </row>
    <row r="54" spans="1:8">
      <c r="A54" s="11"/>
      <c r="B54" s="60"/>
      <c r="C54" s="11"/>
      <c r="D54" s="11"/>
      <c r="E54" s="11"/>
      <c r="F54" s="11"/>
      <c r="G54" s="11"/>
      <c r="H54" s="62"/>
    </row>
    <row r="55" spans="1:8">
      <c r="A55" s="11"/>
      <c r="B55" s="60"/>
      <c r="C55" s="11"/>
      <c r="D55" s="11"/>
      <c r="E55" s="11"/>
      <c r="F55" s="11"/>
      <c r="G55" s="11"/>
      <c r="H55" s="62"/>
    </row>
    <row r="56" spans="1:8">
      <c r="A56" s="11"/>
      <c r="B56" s="60"/>
      <c r="C56" s="11"/>
      <c r="D56" s="11"/>
      <c r="E56" s="11"/>
      <c r="F56" s="11"/>
      <c r="G56" s="11"/>
      <c r="H56" s="62"/>
    </row>
    <row r="57" spans="1:8">
      <c r="A57" s="11"/>
      <c r="B57" s="60"/>
      <c r="C57" s="11"/>
      <c r="D57" s="11"/>
      <c r="E57" s="11"/>
      <c r="F57" s="11"/>
      <c r="G57" s="11"/>
      <c r="H57" s="62"/>
    </row>
    <row r="58" spans="1:8">
      <c r="A58" s="11"/>
      <c r="B58" s="60"/>
      <c r="C58" s="11"/>
      <c r="D58" s="11"/>
      <c r="E58" s="11"/>
      <c r="F58" s="11"/>
      <c r="G58" s="11"/>
      <c r="H58" s="62"/>
    </row>
    <row r="59" spans="1:8">
      <c r="A59" s="11"/>
      <c r="B59" s="60"/>
      <c r="C59" s="11"/>
      <c r="D59" s="11"/>
      <c r="E59" s="11"/>
      <c r="F59" s="11"/>
      <c r="G59" s="11"/>
      <c r="H59" s="62"/>
    </row>
    <row r="60" spans="1:8">
      <c r="A60" s="11"/>
      <c r="B60" s="60"/>
      <c r="C60" s="11"/>
      <c r="D60" s="11"/>
      <c r="E60" s="11"/>
      <c r="F60" s="11"/>
      <c r="G60" s="11"/>
      <c r="H60" s="62"/>
    </row>
    <row r="61" spans="1:8">
      <c r="A61" s="8"/>
      <c r="B61" s="8"/>
      <c r="C61" s="8"/>
      <c r="D61" s="8"/>
      <c r="E61" s="8"/>
      <c r="F61" s="8"/>
      <c r="G61" s="8"/>
      <c r="H61" s="8"/>
    </row>
    <row r="62" spans="1:8">
      <c r="A62" s="8"/>
      <c r="B62" s="8"/>
      <c r="C62" s="8"/>
      <c r="D62" s="8"/>
      <c r="E62" s="8"/>
      <c r="F62" s="8"/>
      <c r="G62" s="8"/>
      <c r="H62" s="8"/>
    </row>
    <row r="63" spans="1:8">
      <c r="A63" s="8"/>
      <c r="B63" s="8"/>
      <c r="C63" s="8"/>
      <c r="D63" s="8"/>
      <c r="E63" s="8"/>
      <c r="F63" s="8"/>
      <c r="G63" s="8"/>
      <c r="H63" s="8"/>
    </row>
    <row r="64" spans="1:8">
      <c r="A64" s="8"/>
      <c r="B64" s="8"/>
      <c r="C64" s="8"/>
      <c r="D64" s="8"/>
      <c r="E64" s="8"/>
      <c r="F64" s="8"/>
      <c r="G64" s="8"/>
      <c r="H64" s="8"/>
    </row>
    <row r="65" spans="1:8">
      <c r="A65" s="8"/>
      <c r="B65" s="8"/>
      <c r="C65" s="8"/>
      <c r="D65" s="8"/>
      <c r="E65" s="8"/>
      <c r="F65" s="8"/>
      <c r="G65" s="8"/>
      <c r="H65" s="8"/>
    </row>
    <row r="66" spans="1:8">
      <c r="A66" s="8"/>
      <c r="B66" s="8"/>
      <c r="C66" s="8"/>
      <c r="D66" s="8"/>
      <c r="E66" s="8"/>
      <c r="F66" s="8"/>
      <c r="G66" s="8"/>
      <c r="H66" s="8"/>
    </row>
    <row r="67" spans="1:8">
      <c r="A67" s="8"/>
      <c r="B67" s="8"/>
      <c r="C67" s="8"/>
      <c r="D67" s="8"/>
      <c r="E67" s="8"/>
      <c r="F67" s="8"/>
      <c r="G67" s="8"/>
      <c r="H67" s="8"/>
    </row>
    <row r="68" spans="1:8">
      <c r="A68" s="8"/>
      <c r="B68" s="8"/>
      <c r="C68" s="8"/>
      <c r="D68" s="8"/>
      <c r="E68" s="8"/>
      <c r="F68" s="8"/>
      <c r="G68" s="8"/>
      <c r="H68" s="8"/>
    </row>
    <row r="69" spans="1:8">
      <c r="A69" s="8"/>
      <c r="B69" s="8"/>
      <c r="C69" s="8"/>
      <c r="D69" s="8"/>
      <c r="E69" s="8"/>
      <c r="F69" s="8"/>
      <c r="G69" s="8"/>
      <c r="H69" s="8"/>
    </row>
    <row r="70" spans="1:8">
      <c r="A70" s="8"/>
      <c r="B70" s="8"/>
      <c r="C70" s="8"/>
      <c r="D70" s="8"/>
      <c r="E70" s="8"/>
      <c r="F70" s="8"/>
      <c r="G70" s="8"/>
      <c r="H70" s="8"/>
    </row>
    <row r="71" spans="1:8">
      <c r="A71" s="8"/>
      <c r="B71" s="8"/>
      <c r="C71" s="8"/>
      <c r="D71" s="8"/>
      <c r="E71" s="8"/>
      <c r="F71" s="8"/>
      <c r="G71" s="8"/>
      <c r="H71" s="8"/>
    </row>
    <row r="72" spans="1:8">
      <c r="A72" s="8"/>
      <c r="B72" s="8"/>
      <c r="C72" s="8"/>
      <c r="D72" s="8"/>
      <c r="E72" s="8"/>
      <c r="F72" s="8"/>
      <c r="G72" s="8"/>
      <c r="H72" s="8"/>
    </row>
    <row r="73" spans="1:8">
      <c r="A73" s="8"/>
      <c r="B73" s="8"/>
      <c r="C73" s="8"/>
      <c r="D73" s="8"/>
      <c r="E73" s="8"/>
      <c r="F73" s="8"/>
      <c r="G73" s="8"/>
      <c r="H73" s="8"/>
    </row>
    <row r="74" spans="1:8">
      <c r="A74" s="8"/>
      <c r="B74" s="8"/>
      <c r="C74" s="8"/>
      <c r="D74" s="8"/>
      <c r="E74" s="8"/>
      <c r="F74" s="8"/>
      <c r="G74" s="8"/>
      <c r="H74" s="8"/>
    </row>
    <row r="75" spans="1:8">
      <c r="A75" s="8"/>
      <c r="B75" s="8"/>
      <c r="C75" s="8"/>
      <c r="D75" s="8"/>
      <c r="E75" s="8"/>
      <c r="F75" s="8"/>
      <c r="G75" s="8"/>
      <c r="H75" s="8"/>
    </row>
    <row r="76" spans="1:8">
      <c r="A76" s="8"/>
      <c r="B76" s="8"/>
      <c r="C76" s="8"/>
      <c r="D76" s="8"/>
      <c r="E76" s="8"/>
      <c r="F76" s="8"/>
      <c r="G76" s="8"/>
      <c r="H76" s="8"/>
    </row>
  </sheetData>
  <phoneticPr fontId="2" type="noConversion"/>
  <pageMargins left="0.75" right="0.75" top="1" bottom="1" header="0.5" footer="0.5"/>
  <headerFooter alignWithMargins="0"/>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sheet1</vt:lpstr>
      <vt:lpstr>sheet2</vt:lpstr>
      <vt:lpstr>sheet3</vt:lpstr>
      <vt:lpstr>sheet4</vt:lpstr>
      <vt:lpstr>sheet5</vt:lpstr>
    </vt:vector>
  </TitlesOfParts>
  <Manager>Ten IG</Manager>
  <Company>КТУ</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Лабораторная работа №_9: Исследование метода золотого сечения  при решении задачи №1.</dc:title>
  <dc:subject>Методы оптимизации</dc:subject>
  <dc:creator>ten_IG</dc:creator>
  <dc:description>15.08.2007 The file has been updated for POVT-05.</dc:description>
  <cp:lastModifiedBy>user</cp:lastModifiedBy>
  <cp:lastPrinted>2002-04-05T12:55:38Z</cp:lastPrinted>
  <dcterms:created xsi:type="dcterms:W3CDTF">2002-01-25T11:06:38Z</dcterms:created>
  <dcterms:modified xsi:type="dcterms:W3CDTF">2018-12-06T16:24:08Z</dcterms:modified>
  <cp:category>POVT-5-01</cp:category>
</cp:coreProperties>
</file>