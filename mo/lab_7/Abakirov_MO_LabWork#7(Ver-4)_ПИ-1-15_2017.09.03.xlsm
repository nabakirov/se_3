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defaultThemeVersion="124226"/>
  <mc:AlternateContent xmlns:mc="http://schemas.openxmlformats.org/markup-compatibility/2006">
    <mc:Choice Requires="x15">
      <x15ac:absPath xmlns:x15ac="http://schemas.microsoft.com/office/spreadsheetml/2010/11/ac" url="\\Mac\Home\Documents\kstu\dev\mo\lab_7\"/>
    </mc:Choice>
  </mc:AlternateContent>
  <bookViews>
    <workbookView xWindow="0" yWindow="458" windowWidth="28800" windowHeight="16583" activeTab="3"/>
  </bookViews>
  <sheets>
    <sheet name="sheet1" sheetId="1" r:id="rId1"/>
    <sheet name="sheet2" sheetId="2" r:id="rId2"/>
    <sheet name="sheet3" sheetId="3" r:id="rId3"/>
    <sheet name="sheet4" sheetId="4" r:id="rId4"/>
    <sheet name="sheet5" sheetId="5" r:id="rId5"/>
  </sheets>
  <calcPr calcId="152511" iterate="1"/>
</workbook>
</file>

<file path=xl/calcChain.xml><?xml version="1.0" encoding="utf-8"?>
<calcChain xmlns="http://schemas.openxmlformats.org/spreadsheetml/2006/main">
  <c r="J24" i="5" l="1"/>
  <c r="M5" i="4" l="1"/>
  <c r="K67" i="1"/>
  <c r="J67" i="1" s="1"/>
  <c r="I67" i="1"/>
  <c r="K66" i="1"/>
  <c r="J66" i="1" s="1"/>
  <c r="I66" i="1"/>
  <c r="K65" i="1"/>
  <c r="J65" i="1" s="1"/>
  <c r="I65" i="1"/>
  <c r="K64" i="1"/>
  <c r="J64" i="1" s="1"/>
  <c r="I64" i="1"/>
  <c r="K63" i="1"/>
  <c r="J63" i="1" s="1"/>
  <c r="I63" i="1"/>
  <c r="K62" i="1"/>
  <c r="J62" i="1" s="1"/>
  <c r="I62" i="1"/>
  <c r="K61" i="1"/>
  <c r="J61" i="1" s="1"/>
  <c r="I61" i="1"/>
  <c r="K60" i="1"/>
  <c r="J60" i="1" s="1"/>
  <c r="I60" i="1"/>
  <c r="K59" i="1"/>
  <c r="J59" i="1" s="1"/>
  <c r="I59" i="1"/>
  <c r="K58" i="1"/>
  <c r="J58" i="1" s="1"/>
  <c r="I58" i="1"/>
  <c r="K57" i="1"/>
  <c r="J57" i="1" s="1"/>
  <c r="I57" i="1"/>
  <c r="K56" i="1"/>
  <c r="J56" i="1" s="1"/>
  <c r="I56" i="1"/>
  <c r="K55" i="1"/>
  <c r="J55" i="1" s="1"/>
  <c r="I55" i="1"/>
  <c r="K54" i="1"/>
  <c r="J54" i="1" s="1"/>
  <c r="I54" i="1"/>
  <c r="K53" i="1"/>
  <c r="J53" i="1" s="1"/>
  <c r="I53" i="1"/>
  <c r="K52" i="1"/>
  <c r="J52" i="1" s="1"/>
  <c r="I52" i="1"/>
  <c r="K51" i="1"/>
  <c r="J51" i="1" s="1"/>
  <c r="I51" i="1"/>
  <c r="K50" i="1"/>
  <c r="J50" i="1" s="1"/>
  <c r="I50" i="1"/>
  <c r="K49" i="1"/>
  <c r="J49" i="1" s="1"/>
  <c r="I49" i="1"/>
  <c r="K48" i="1"/>
  <c r="J48" i="1" s="1"/>
  <c r="I48" i="1"/>
  <c r="K47" i="1"/>
  <c r="J47" i="1" s="1"/>
  <c r="I47" i="1"/>
  <c r="K46" i="1"/>
  <c r="J46" i="1" s="1"/>
  <c r="I46" i="1"/>
  <c r="K45" i="1"/>
  <c r="J45" i="1" s="1"/>
  <c r="I45" i="1"/>
  <c r="K44" i="1"/>
  <c r="J44" i="1" s="1"/>
  <c r="I44" i="1"/>
  <c r="K43" i="1"/>
  <c r="J43" i="1" s="1"/>
  <c r="I43" i="1"/>
  <c r="K42" i="1"/>
  <c r="J42" i="1" s="1"/>
  <c r="I42" i="1"/>
  <c r="K41" i="1"/>
  <c r="J41" i="1" s="1"/>
  <c r="I41" i="1"/>
  <c r="K40" i="1"/>
  <c r="J40" i="1" s="1"/>
  <c r="I40" i="1"/>
  <c r="K39" i="1"/>
  <c r="J39" i="1"/>
  <c r="I39" i="1"/>
  <c r="K38" i="1"/>
  <c r="J38" i="1" s="1"/>
  <c r="I38" i="1"/>
  <c r="K37" i="1"/>
  <c r="J37" i="1" s="1"/>
  <c r="I37" i="1"/>
  <c r="K36" i="1"/>
  <c r="J36" i="1"/>
  <c r="I36" i="1"/>
  <c r="K35" i="1"/>
  <c r="J35" i="1" s="1"/>
  <c r="I35" i="1"/>
  <c r="K34" i="1"/>
  <c r="J34" i="1" s="1"/>
  <c r="I34" i="1"/>
  <c r="K33" i="1"/>
  <c r="J33" i="1" s="1"/>
  <c r="I33" i="1"/>
  <c r="K32" i="1"/>
  <c r="J32" i="1" s="1"/>
  <c r="I32" i="1"/>
  <c r="K31" i="1"/>
  <c r="J31" i="1" s="1"/>
  <c r="I31" i="1"/>
  <c r="K30" i="1"/>
  <c r="J30" i="1" s="1"/>
  <c r="I30" i="1"/>
  <c r="K29" i="1"/>
  <c r="J29" i="1" s="1"/>
  <c r="I29" i="1"/>
  <c r="K28" i="1"/>
  <c r="J28" i="1" s="1"/>
  <c r="I28" i="1"/>
  <c r="K27" i="1"/>
  <c r="J27" i="1" s="1"/>
  <c r="I27" i="1"/>
  <c r="K26" i="1"/>
  <c r="J26" i="1" s="1"/>
  <c r="I26" i="1"/>
  <c r="K25" i="1"/>
  <c r="J25" i="1" s="1"/>
  <c r="I25" i="1"/>
  <c r="K24" i="1"/>
  <c r="J24" i="1" s="1"/>
  <c r="I24" i="1"/>
  <c r="K23" i="1"/>
  <c r="J23" i="1"/>
  <c r="I23" i="1"/>
  <c r="K22" i="1"/>
  <c r="J22" i="1" s="1"/>
  <c r="I22" i="1"/>
  <c r="K21" i="1"/>
  <c r="J21" i="1" s="1"/>
  <c r="I21" i="1"/>
  <c r="K20" i="1"/>
  <c r="J20" i="1" s="1"/>
  <c r="I20" i="1"/>
  <c r="K19" i="1"/>
  <c r="J19" i="1"/>
  <c r="I19" i="1"/>
  <c r="K18" i="1"/>
  <c r="J18" i="1" s="1"/>
  <c r="I18" i="1"/>
  <c r="K17" i="1"/>
  <c r="J17" i="1" s="1"/>
  <c r="I17" i="1"/>
  <c r="K16" i="1"/>
  <c r="J16" i="1"/>
  <c r="I16" i="1"/>
  <c r="K15" i="1"/>
  <c r="J15" i="1"/>
  <c r="I15" i="1"/>
  <c r="K14" i="1"/>
  <c r="J14" i="1" s="1"/>
  <c r="I14" i="1"/>
  <c r="K13" i="1"/>
  <c r="J13" i="1"/>
  <c r="I13" i="1"/>
  <c r="K12" i="1"/>
  <c r="J12" i="1"/>
  <c r="I12" i="1"/>
  <c r="K11" i="1"/>
  <c r="J11" i="1"/>
  <c r="I11" i="1"/>
  <c r="K10" i="1"/>
  <c r="J10" i="1" s="1"/>
  <c r="I10" i="1"/>
  <c r="K9" i="1"/>
  <c r="J9" i="1"/>
  <c r="I9" i="1"/>
  <c r="K8" i="1"/>
  <c r="J8" i="1"/>
  <c r="I8" i="1"/>
  <c r="K7" i="1"/>
  <c r="J7" i="1" s="1"/>
  <c r="I7" i="1"/>
  <c r="K6" i="1"/>
  <c r="J6" i="1" s="1"/>
  <c r="I6" i="1"/>
  <c r="K5" i="1"/>
  <c r="J5" i="1"/>
  <c r="I5" i="1"/>
  <c r="K4" i="1"/>
  <c r="J4" i="1" s="1"/>
  <c r="I4" i="1"/>
  <c r="H76" i="5" l="1"/>
  <c r="F7" i="3"/>
  <c r="J22" i="5"/>
  <c r="J21" i="5"/>
  <c r="J20" i="5"/>
  <c r="J19" i="5"/>
  <c r="J18" i="5"/>
  <c r="J17" i="5"/>
  <c r="J16" i="5"/>
  <c r="J15" i="5"/>
  <c r="J14" i="5"/>
  <c r="J13" i="5"/>
  <c r="J12" i="5"/>
  <c r="I76" i="5"/>
  <c r="H75" i="5" l="1"/>
  <c r="H77" i="5"/>
  <c r="H78" i="5" s="1"/>
  <c r="H79" i="5" s="1"/>
  <c r="I22" i="5"/>
  <c r="I21" i="5"/>
  <c r="I20" i="5"/>
  <c r="I19" i="5"/>
  <c r="I18" i="5"/>
  <c r="I17" i="5"/>
  <c r="I16" i="5"/>
  <c r="I15" i="5"/>
  <c r="I14" i="5"/>
  <c r="I13" i="5"/>
  <c r="I12" i="5"/>
  <c r="E7" i="3"/>
  <c r="I5" i="4"/>
  <c r="D5" i="2"/>
  <c r="E5" i="2"/>
  <c r="C5" i="2"/>
  <c r="I78" i="5" l="1"/>
  <c r="I77" i="5"/>
  <c r="F5" i="2"/>
  <c r="G5" i="2" s="1"/>
  <c r="B6" i="2" s="1"/>
  <c r="E6" i="2" s="1"/>
  <c r="I75" i="5"/>
  <c r="H74" i="5"/>
  <c r="H80" i="5"/>
  <c r="I79" i="5"/>
  <c r="H6" i="2" l="1"/>
  <c r="D6" i="2"/>
  <c r="F6" i="2" s="1"/>
  <c r="G6" i="2" s="1"/>
  <c r="B7" i="2" s="1"/>
  <c r="I74" i="5"/>
  <c r="H73" i="5"/>
  <c r="C6" i="2"/>
  <c r="I80" i="5"/>
  <c r="H81" i="5"/>
  <c r="H72" i="5" l="1"/>
  <c r="I73" i="5"/>
  <c r="H82" i="5"/>
  <c r="I81" i="5"/>
  <c r="H7" i="2"/>
  <c r="D7" i="2"/>
  <c r="E7" i="2"/>
  <c r="C7" i="2"/>
  <c r="H71" i="5" l="1"/>
  <c r="I72" i="5"/>
  <c r="H83" i="5"/>
  <c r="I82" i="5"/>
  <c r="F7" i="2"/>
  <c r="G7" i="2" s="1"/>
  <c r="B8" i="2" s="1"/>
  <c r="I71" i="5" l="1"/>
  <c r="H70" i="5"/>
  <c r="H84" i="5"/>
  <c r="I83" i="5"/>
  <c r="H8" i="2"/>
  <c r="D8" i="2"/>
  <c r="C8" i="2"/>
  <c r="E8" i="2"/>
  <c r="I70" i="5" l="1"/>
  <c r="H69" i="5"/>
  <c r="H85" i="5"/>
  <c r="H86" i="5" s="1"/>
  <c r="I84" i="5"/>
  <c r="F8" i="2"/>
  <c r="G8" i="2" s="1"/>
  <c r="B9" i="2" s="1"/>
  <c r="H87" i="5" l="1"/>
  <c r="I86" i="5"/>
  <c r="H68" i="5"/>
  <c r="I69" i="5"/>
  <c r="I85" i="5"/>
  <c r="E9" i="2"/>
  <c r="H9" i="2"/>
  <c r="C9" i="2"/>
  <c r="D9" i="2"/>
  <c r="H88" i="5" l="1"/>
  <c r="I87" i="5"/>
  <c r="H67" i="5"/>
  <c r="I68" i="5"/>
  <c r="F9" i="2"/>
  <c r="G9" i="2" s="1"/>
  <c r="B10" i="2" s="1"/>
  <c r="C10" i="2" s="1"/>
  <c r="E10" i="2"/>
  <c r="H10" i="2"/>
  <c r="D10" i="2"/>
  <c r="H89" i="5" l="1"/>
  <c r="I88" i="5"/>
  <c r="I67" i="5"/>
  <c r="H66" i="5"/>
  <c r="F10" i="2"/>
  <c r="G10" i="2" s="1"/>
  <c r="B11" i="2" s="1"/>
  <c r="H90" i="5" l="1"/>
  <c r="I89" i="5"/>
  <c r="H65" i="5"/>
  <c r="I66" i="5"/>
  <c r="D11" i="2"/>
  <c r="E11" i="2"/>
  <c r="H11" i="2"/>
  <c r="C11" i="2"/>
  <c r="H91" i="5" l="1"/>
  <c r="I90" i="5"/>
  <c r="H64" i="5"/>
  <c r="I65" i="5"/>
  <c r="F11" i="2"/>
  <c r="G11" i="2" s="1"/>
  <c r="B12" i="2" s="1"/>
  <c r="H92" i="5" l="1"/>
  <c r="I91" i="5"/>
  <c r="H63" i="5"/>
  <c r="I64" i="5"/>
  <c r="H12" i="2"/>
  <c r="C12" i="2"/>
  <c r="D12" i="2"/>
  <c r="E12" i="2"/>
  <c r="H93" i="5" l="1"/>
  <c r="I92" i="5"/>
  <c r="I63" i="5"/>
  <c r="H62" i="5"/>
  <c r="F12" i="2"/>
  <c r="G12" i="2" s="1"/>
  <c r="B13" i="2" s="1"/>
  <c r="H94" i="5" l="1"/>
  <c r="I93" i="5"/>
  <c r="I62" i="5"/>
  <c r="H61" i="5"/>
  <c r="D13" i="2"/>
  <c r="H13" i="2"/>
  <c r="C13" i="2"/>
  <c r="E13" i="2"/>
  <c r="H95" i="5" l="1"/>
  <c r="I94" i="5"/>
  <c r="I61" i="5"/>
  <c r="H60" i="5"/>
  <c r="F13" i="2"/>
  <c r="G13" i="2" s="1"/>
  <c r="B14" i="2" s="1"/>
  <c r="H96" i="5" l="1"/>
  <c r="I95" i="5"/>
  <c r="I60" i="5"/>
  <c r="H59" i="5"/>
  <c r="E14" i="2"/>
  <c r="H14" i="2"/>
  <c r="C14" i="2"/>
  <c r="D14" i="2"/>
  <c r="H97" i="5" l="1"/>
  <c r="I96" i="5"/>
  <c r="F14" i="2"/>
  <c r="G14" i="2" s="1"/>
  <c r="B15" i="2" s="1"/>
  <c r="C15" i="2" s="1"/>
  <c r="H58" i="5"/>
  <c r="I59" i="5"/>
  <c r="H15" i="2"/>
  <c r="D15" i="2"/>
  <c r="E15" i="2"/>
  <c r="H98" i="5" l="1"/>
  <c r="I97" i="5"/>
  <c r="I58" i="5"/>
  <c r="H57" i="5"/>
  <c r="F15" i="2"/>
  <c r="G15" i="2" s="1"/>
  <c r="B16" i="2" s="1"/>
  <c r="D16" i="2" s="1"/>
  <c r="H16" i="2"/>
  <c r="H99" i="5" l="1"/>
  <c r="I98" i="5"/>
  <c r="C16" i="2"/>
  <c r="H56" i="5"/>
  <c r="I57" i="5"/>
  <c r="E16" i="2"/>
  <c r="F16" i="2" s="1"/>
  <c r="G16" i="2" s="1"/>
  <c r="B17" i="2" s="1"/>
  <c r="H100" i="5" l="1"/>
  <c r="I99" i="5"/>
  <c r="I56" i="5"/>
  <c r="H55" i="5"/>
  <c r="C17" i="2"/>
  <c r="H17" i="2"/>
  <c r="D17" i="2"/>
  <c r="E17" i="2"/>
  <c r="H101" i="5" l="1"/>
  <c r="I100" i="5"/>
  <c r="H54" i="5"/>
  <c r="I55" i="5"/>
  <c r="F17" i="2"/>
  <c r="G17" i="2" s="1"/>
  <c r="B18" i="2" s="1"/>
  <c r="H102" i="5" l="1"/>
  <c r="I101" i="5"/>
  <c r="I54" i="5"/>
  <c r="H53" i="5"/>
  <c r="E18" i="2"/>
  <c r="H18" i="2"/>
  <c r="C18" i="2"/>
  <c r="D18" i="2"/>
  <c r="H103" i="5" l="1"/>
  <c r="I102" i="5"/>
  <c r="F18" i="2"/>
  <c r="G18" i="2" s="1"/>
  <c r="B19" i="2" s="1"/>
  <c r="C19" i="2" s="1"/>
  <c r="I53" i="5"/>
  <c r="H52" i="5"/>
  <c r="D19" i="2"/>
  <c r="E19" i="2"/>
  <c r="H19" i="2"/>
  <c r="H104" i="5" l="1"/>
  <c r="I103" i="5"/>
  <c r="F19" i="2"/>
  <c r="G19" i="2" s="1"/>
  <c r="B20" i="2" s="1"/>
  <c r="E20" i="2" s="1"/>
  <c r="H51" i="5"/>
  <c r="I52" i="5"/>
  <c r="H20" i="2"/>
  <c r="C20" i="2"/>
  <c r="D20" i="2"/>
  <c r="H105" i="5" l="1"/>
  <c r="I104" i="5"/>
  <c r="H50" i="5"/>
  <c r="I51" i="5"/>
  <c r="F20" i="2"/>
  <c r="G20" i="2" s="1"/>
  <c r="B21" i="2" s="1"/>
  <c r="H106" i="5" l="1"/>
  <c r="I105" i="5"/>
  <c r="H49" i="5"/>
  <c r="I50" i="5"/>
  <c r="H21" i="2"/>
  <c r="E21" i="2"/>
  <c r="C21" i="2"/>
  <c r="D21" i="2"/>
  <c r="H107" i="5" l="1"/>
  <c r="I106" i="5"/>
  <c r="F21" i="2"/>
  <c r="G21" i="2" s="1"/>
  <c r="I49" i="5"/>
  <c r="H48" i="5"/>
  <c r="H108" i="5" l="1"/>
  <c r="I107" i="5"/>
  <c r="I48" i="5"/>
  <c r="H47" i="5"/>
  <c r="H109" i="5" l="1"/>
  <c r="I108" i="5"/>
  <c r="H46" i="5"/>
  <c r="I47" i="5"/>
  <c r="H110" i="5" l="1"/>
  <c r="I109" i="5"/>
  <c r="H45" i="5"/>
  <c r="I46" i="5"/>
  <c r="H111" i="5" l="1"/>
  <c r="I110" i="5"/>
  <c r="H44" i="5"/>
  <c r="I45" i="5"/>
  <c r="H112" i="5" l="1"/>
  <c r="I111" i="5"/>
  <c r="H43" i="5"/>
  <c r="I44" i="5"/>
  <c r="H113" i="5" l="1"/>
  <c r="I112" i="5"/>
  <c r="I43" i="5"/>
  <c r="H42" i="5"/>
  <c r="H114" i="5" l="1"/>
  <c r="I113" i="5"/>
  <c r="H41" i="5"/>
  <c r="I42" i="5"/>
  <c r="H115" i="5" l="1"/>
  <c r="I114" i="5"/>
  <c r="I41" i="5"/>
  <c r="H40" i="5"/>
  <c r="H116" i="5" l="1"/>
  <c r="I115" i="5"/>
  <c r="H39" i="5"/>
  <c r="I40" i="5"/>
  <c r="H117" i="5" l="1"/>
  <c r="I116" i="5"/>
  <c r="I39" i="5"/>
  <c r="H38" i="5"/>
  <c r="H118" i="5" l="1"/>
  <c r="I117" i="5"/>
  <c r="H37" i="5"/>
  <c r="I38" i="5"/>
  <c r="H119" i="5" l="1"/>
  <c r="I118" i="5"/>
  <c r="I37" i="5"/>
  <c r="H36" i="5"/>
  <c r="H120" i="5" l="1"/>
  <c r="I119" i="5"/>
  <c r="H35" i="5"/>
  <c r="I36" i="5"/>
  <c r="H121" i="5" l="1"/>
  <c r="I120" i="5"/>
  <c r="I35" i="5"/>
  <c r="H34" i="5"/>
  <c r="H122" i="5" l="1"/>
  <c r="I121" i="5"/>
  <c r="I34" i="5"/>
  <c r="H33" i="5"/>
  <c r="H123" i="5" l="1"/>
  <c r="I122" i="5"/>
  <c r="H32" i="5"/>
  <c r="I33" i="5"/>
  <c r="H124" i="5" l="1"/>
  <c r="I123" i="5"/>
  <c r="H31" i="5"/>
  <c r="I32" i="5"/>
  <c r="H125" i="5" l="1"/>
  <c r="I124" i="5"/>
  <c r="I31" i="5"/>
  <c r="H30" i="5"/>
  <c r="H126" i="5" l="1"/>
  <c r="I126" i="5" s="1"/>
  <c r="I125" i="5"/>
  <c r="I30" i="5"/>
  <c r="H29" i="5"/>
  <c r="H28" i="5" l="1"/>
  <c r="I29" i="5"/>
  <c r="H27" i="5" l="1"/>
  <c r="J5" i="4" s="1"/>
  <c r="I28" i="5"/>
  <c r="I27" i="5" l="1"/>
  <c r="I25" i="5"/>
  <c r="B7" i="3"/>
  <c r="C7" i="3"/>
  <c r="G7" i="3"/>
  <c r="I7" i="3"/>
  <c r="J7" i="3"/>
  <c r="B8" i="3"/>
  <c r="C8" i="3"/>
  <c r="D8" i="3"/>
  <c r="I8" i="3"/>
  <c r="B9" i="3"/>
  <c r="C9" i="3"/>
  <c r="D9" i="3"/>
  <c r="I9" i="3"/>
  <c r="B10" i="3"/>
  <c r="C10" i="3"/>
  <c r="D10" i="3"/>
  <c r="I10" i="3"/>
  <c r="B11" i="3"/>
  <c r="C11" i="3"/>
  <c r="D11" i="3"/>
  <c r="I11" i="3"/>
  <c r="B12" i="3"/>
  <c r="C12" i="3"/>
  <c r="D12" i="3"/>
  <c r="I12" i="3"/>
  <c r="B13" i="3"/>
  <c r="C13" i="3"/>
  <c r="D13" i="3"/>
  <c r="I13" i="3"/>
  <c r="B14" i="3"/>
  <c r="C14" i="3"/>
  <c r="D14" i="3"/>
  <c r="I14" i="3"/>
  <c r="B15" i="3"/>
  <c r="C15" i="3"/>
  <c r="D15" i="3"/>
  <c r="I15" i="3"/>
  <c r="B16" i="3"/>
  <c r="C16" i="3"/>
  <c r="D16" i="3"/>
  <c r="I16" i="3"/>
  <c r="B17" i="3"/>
  <c r="C17" i="3"/>
  <c r="D17" i="3"/>
  <c r="I17" i="3"/>
  <c r="B18" i="3"/>
  <c r="C18" i="3"/>
  <c r="D18" i="3"/>
  <c r="I18" i="3"/>
  <c r="B19" i="3"/>
  <c r="C19" i="3"/>
  <c r="D19" i="3"/>
  <c r="I19" i="3"/>
  <c r="B20" i="3"/>
  <c r="C20" i="3"/>
  <c r="D20" i="3"/>
  <c r="I20" i="3"/>
  <c r="B21" i="3"/>
  <c r="C21" i="3"/>
  <c r="D21" i="3"/>
  <c r="I21" i="3"/>
  <c r="B22" i="3"/>
  <c r="C22" i="3"/>
  <c r="D22" i="3"/>
  <c r="I22" i="3"/>
  <c r="B23" i="3"/>
  <c r="C23" i="3"/>
  <c r="D23" i="3"/>
  <c r="I23" i="3"/>
  <c r="B24" i="3"/>
  <c r="C24" i="3"/>
  <c r="D24" i="3"/>
  <c r="I24" i="3"/>
  <c r="B25" i="3"/>
  <c r="C25" i="3"/>
  <c r="D25" i="3"/>
  <c r="I25" i="3"/>
  <c r="B26" i="3"/>
  <c r="C26" i="3"/>
  <c r="D26" i="3"/>
  <c r="I26" i="3"/>
  <c r="I27" i="3"/>
  <c r="K5" i="4"/>
  <c r="L5" i="4"/>
  <c r="A7" i="4"/>
  <c r="B7" i="4"/>
  <c r="C7" i="4"/>
  <c r="D7" i="4"/>
  <c r="E7" i="4"/>
  <c r="F7" i="4"/>
  <c r="G7" i="4"/>
  <c r="H7" i="4"/>
  <c r="I7" i="4"/>
  <c r="J7" i="4"/>
  <c r="K7" i="4"/>
  <c r="L7" i="4"/>
  <c r="M7" i="4"/>
  <c r="N7" i="4"/>
  <c r="F8" i="4"/>
</calcChain>
</file>

<file path=xl/comments1.xml><?xml version="1.0" encoding="utf-8"?>
<comments xmlns="http://schemas.openxmlformats.org/spreadsheetml/2006/main">
  <authors>
    <author>Ten</author>
    <author>ten_IG</author>
  </authors>
  <commentList>
    <comment ref="A3" authorId="0" shapeId="0">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text>
        <r>
          <rPr>
            <b/>
            <sz val="8"/>
            <color indexed="81"/>
            <rFont val="Tahoma"/>
            <family val="2"/>
            <charset val="204"/>
          </rPr>
          <t>ten_IG:</t>
        </r>
        <r>
          <rPr>
            <sz val="8"/>
            <color indexed="81"/>
            <rFont val="Tahoma"/>
            <family val="2"/>
            <charset val="204"/>
          </rPr>
          <t xml:space="preserve">
Себестоимость//Начальная точка поиска в лаб №1, 2//
Cos//Original Searching Point in Labs no.1, 2</t>
        </r>
      </text>
    </comment>
    <comment ref="F3" authorId="1" shapeId="0">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text>
        <r>
          <rPr>
            <b/>
            <sz val="8"/>
            <color indexed="81"/>
            <rFont val="Tahoma"/>
            <family val="2"/>
            <charset val="204"/>
          </rPr>
          <t>ten_IG:</t>
        </r>
        <r>
          <rPr>
            <sz val="8"/>
            <color indexed="81"/>
            <rFont val="Tahoma"/>
            <family val="2"/>
            <charset val="204"/>
          </rPr>
          <t xml:space="preserve">
Solution of odds labs// Решение для нечетных задач</t>
        </r>
      </text>
    </comment>
    <comment ref="J3" authorId="1" shapeId="0">
      <text>
        <r>
          <rPr>
            <b/>
            <sz val="8"/>
            <color indexed="81"/>
            <rFont val="Tahoma"/>
            <family val="2"/>
            <charset val="204"/>
          </rPr>
          <t>ten_IG:</t>
        </r>
        <r>
          <rPr>
            <sz val="8"/>
            <color indexed="81"/>
            <rFont val="Tahoma"/>
            <family val="2"/>
            <charset val="204"/>
          </rPr>
          <t xml:space="preserve">
Solution of even labs.. Решение для четных задач</t>
        </r>
      </text>
    </comment>
  </commentList>
</comments>
</file>

<file path=xl/comments2.xml><?xml version="1.0" encoding="utf-8"?>
<comments xmlns="http://schemas.openxmlformats.org/spreadsheetml/2006/main">
  <authors>
    <author>ten_IG</author>
    <author>tenig</author>
    <author>Administrator</author>
  </authors>
  <commentList>
    <comment ref="H6" authorId="0" shapeId="0">
      <text>
        <r>
          <rPr>
            <b/>
            <sz val="8"/>
            <color indexed="81"/>
            <rFont val="Tahoma"/>
            <family val="2"/>
            <charset val="204"/>
          </rPr>
          <t>ten_IG:</t>
        </r>
        <r>
          <rPr>
            <sz val="8"/>
            <color indexed="81"/>
            <rFont val="Tahoma"/>
            <family val="2"/>
            <charset val="204"/>
          </rPr>
          <t xml:space="preserve">
Значение Sigma, которое будет выделено синим цветом это есть искомое значение параметра Sigma, необходимое для определения скорости сходимости метода оптимизации!!!</t>
        </r>
      </text>
    </comment>
    <comment ref="C88" authorId="1" shapeId="0">
      <text>
        <r>
          <rPr>
            <b/>
            <sz val="9"/>
            <color indexed="81"/>
            <rFont val="Tahoma"/>
            <family val="2"/>
            <charset val="204"/>
          </rPr>
          <t>tenig:</t>
        </r>
        <r>
          <rPr>
            <sz val="9"/>
            <color indexed="81"/>
            <rFont val="Tahoma"/>
            <family val="2"/>
            <charset val="204"/>
          </rPr>
          <t xml:space="preserve">
Студент должен объяснить почему при начальной точке X0=X* значение параметра SIGMA=2 (это означает, что скорость сходимости оптимизационного метода является квадратичной) в исходной точке X0. Программа в Таблице 7.4 не может определить значение параметра SIGMA  в этой точке  когда количество итераций меньше или равно трем. Программа рекомендует подумать немного и чтобы определить скорость сходимости рекомендует проанализировать скорость сходимости метода оптимизации в окрестности оптимальной точки X* и на основе такого анализа сделать вывод о значении скорости сходимости метода оптимизации в точке X0=X*.</t>
        </r>
      </text>
    </comment>
    <comment ref="D88" authorId="2" shapeId="0">
      <text>
        <r>
          <rPr>
            <b/>
            <sz val="9"/>
            <color indexed="81"/>
            <rFont val="Tahoma"/>
            <family val="2"/>
          </rPr>
          <t>Абакиров Нурсултан</t>
        </r>
        <r>
          <rPr>
            <sz val="9"/>
            <color indexed="81"/>
            <rFont val="Tahoma"/>
            <family val="2"/>
            <charset val="204"/>
          </rPr>
          <t>:
Метод ньютона имеет суперлинейную скорость при начальных значениях цены от 1 до 215.728488581571
от 205.176668026706 до 246.012001632047  квадратичную скорость.Судя по графику если смотреть справа или слева скорость сближается к оптимальной (sigma=2).Следовательно метод Ньютона имеет в этой точке sigma=2</t>
        </r>
      </text>
    </comment>
  </commentList>
</comments>
</file>

<file path=xl/comments3.xml><?xml version="1.0" encoding="utf-8"?>
<comments xmlns="http://schemas.openxmlformats.org/spreadsheetml/2006/main">
  <authors>
    <author>ten_IG</author>
  </authors>
  <commentList>
    <comment ref="L4" authorId="0" shapeId="0">
      <text>
        <r>
          <rPr>
            <b/>
            <sz val="8"/>
            <color indexed="81"/>
            <rFont val="Tahoma"/>
            <family val="2"/>
            <charset val="204"/>
          </rPr>
          <t>ten_IG:</t>
        </r>
        <r>
          <rPr>
            <sz val="8"/>
            <color indexed="81"/>
            <rFont val="Tahoma"/>
            <family val="2"/>
            <charset val="204"/>
          </rPr>
          <t xml:space="preserve">
Целевая функция для задачи №2 имеет вид:
f(x)=[alfa*(x-C)/x^(2*D)].
Производная от целевой функции имеет вид:
f '(x)=[alfa*(x-2*D*x+2*C*D)/x^(2*D+1)]
</t>
        </r>
      </text>
    </comment>
    <comment ref="A5" authorId="0" shapeId="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t>
        </r>
      </text>
    </comment>
  </commentList>
</comments>
</file>

<file path=xl/comments4.xml><?xml version="1.0" encoding="utf-8"?>
<comments xmlns="http://schemas.openxmlformats.org/spreadsheetml/2006/main">
  <authors>
    <author>tenig</author>
    <author>Иосиф</author>
  </authors>
  <commentList>
    <comment ref="H25" authorId="0" shapeId="0">
      <text>
        <r>
          <rPr>
            <b/>
            <sz val="9"/>
            <color indexed="81"/>
            <rFont val="Tahoma"/>
            <family val="2"/>
            <charset val="204"/>
          </rPr>
          <t>tenig:</t>
        </r>
        <r>
          <rPr>
            <sz val="9"/>
            <color indexed="81"/>
            <rFont val="Tahoma"/>
            <family val="2"/>
            <charset val="204"/>
          </rPr>
          <t xml:space="preserve">
Here Increment of step size of Initial Price list is. </t>
        </r>
      </text>
    </comment>
    <comment ref="I25" authorId="0" shapeId="0">
      <text>
        <r>
          <rPr>
            <b/>
            <sz val="9"/>
            <color indexed="81"/>
            <rFont val="Tahoma"/>
            <family val="2"/>
            <charset val="204"/>
          </rPr>
          <t>tenig:</t>
        </r>
        <r>
          <rPr>
            <sz val="9"/>
            <color indexed="81"/>
            <rFont val="Tahoma"/>
            <family val="2"/>
            <charset val="204"/>
          </rPr>
          <t xml:space="preserve">
Размер области сходимости</t>
        </r>
      </text>
    </comment>
    <comment ref="H76" authorId="1" shapeId="0">
      <text>
        <r>
          <rPr>
            <b/>
            <sz val="9"/>
            <color indexed="81"/>
            <rFont val="Tahoma"/>
            <family val="2"/>
            <charset val="204"/>
          </rPr>
          <t>Иосиф:</t>
        </r>
        <r>
          <rPr>
            <sz val="9"/>
            <color indexed="81"/>
            <rFont val="Tahoma"/>
            <family val="2"/>
            <charset val="204"/>
          </rPr>
          <t xml:space="preserve">
In this cell must be referenced to the Sheet1's cell where solution of your assigned task is.</t>
        </r>
      </text>
    </comment>
  </commentList>
</comments>
</file>

<file path=xl/sharedStrings.xml><?xml version="1.0" encoding="utf-8"?>
<sst xmlns="http://schemas.openxmlformats.org/spreadsheetml/2006/main" count="116" uniqueCount="93">
  <si>
    <t>№</t>
  </si>
  <si>
    <t>Цена</t>
  </si>
  <si>
    <t>Спрос</t>
  </si>
  <si>
    <t>Прибыль</t>
  </si>
  <si>
    <t>N</t>
  </si>
  <si>
    <t>Оптимальная Цена</t>
  </si>
  <si>
    <t xml:space="preserve"> Оптимальная Прибыль</t>
  </si>
  <si>
    <t>Начальная цена</t>
  </si>
  <si>
    <t>Оптимальный Спрос</t>
  </si>
  <si>
    <t>Оптимальный Кредит</t>
  </si>
  <si>
    <t>Задача №1: Найти максимум прибыли путем варьирования ценой рынка без учета ограничения на величину кредита.</t>
  </si>
  <si>
    <t>Количество итераций</t>
  </si>
  <si>
    <t>Допустимая Погрешность</t>
  </si>
  <si>
    <t>Оптимальная цена</t>
  </si>
  <si>
    <t>Состояние процесса поиска</t>
  </si>
  <si>
    <t>Кредит</t>
  </si>
  <si>
    <t>Выбор начальной цены</t>
  </si>
  <si>
    <t>В исходное состояние</t>
  </si>
  <si>
    <t>Пуск программы</t>
  </si>
  <si>
    <t>Номер итерации</t>
  </si>
  <si>
    <r>
      <t xml:space="preserve">Лабораторная работа №_7: Исследование </t>
    </r>
    <r>
      <rPr>
        <b/>
        <i/>
        <sz val="14"/>
        <rFont val="Arial Cyr"/>
        <charset val="204"/>
      </rPr>
      <t>метода Ньютона</t>
    </r>
    <r>
      <rPr>
        <b/>
        <sz val="10"/>
        <rFont val="Arial Cyr"/>
        <charset val="204"/>
      </rPr>
      <t xml:space="preserve"> при решении задачи №1.</t>
    </r>
  </si>
  <si>
    <t>F'(x)</t>
  </si>
  <si>
    <t>F''(x)</t>
  </si>
  <si>
    <t>alfa</t>
  </si>
  <si>
    <t>Прибыль=Спрос*(Цена-Себестоимость); Спрос=A/(Цена+Цена*B)^(2*D); Кредит=Себестоимость*Спрос; F'(x)-Первая производная прибыли от цены; F''(x)-Вторая производная  прибыли от цены.</t>
  </si>
  <si>
    <t>Программа, реализующая метод  Ньютона</t>
  </si>
  <si>
    <t>Выбор допустимой погрешности</t>
  </si>
  <si>
    <t>F'(x)/F''(x)</t>
  </si>
  <si>
    <t>RelError</t>
  </si>
  <si>
    <t>Начальная цена- Оптимальная цена</t>
  </si>
  <si>
    <t>f(x)=[exp(x)-2-x]^2; f'(x)=2*[exp(x)-2-x]*[exp(x)-1]; f''(x)=2*[exp(x)-1]^2+2*[exp(x)-2-x]*exp(x).</t>
  </si>
  <si>
    <t>k</t>
  </si>
  <si>
    <r>
      <t>x</t>
    </r>
    <r>
      <rPr>
        <b/>
        <vertAlign val="superscript"/>
        <sz val="10"/>
        <rFont val="Arial"/>
        <family val="2"/>
        <charset val="204"/>
      </rPr>
      <t>k</t>
    </r>
  </si>
  <si>
    <r>
      <t>f(x</t>
    </r>
    <r>
      <rPr>
        <b/>
        <vertAlign val="superscript"/>
        <sz val="10"/>
        <rFont val="Arial"/>
        <family val="2"/>
        <charset val="204"/>
      </rPr>
      <t>k</t>
    </r>
    <r>
      <rPr>
        <b/>
        <sz val="10"/>
        <rFont val="Arial"/>
        <family val="2"/>
        <charset val="204"/>
      </rPr>
      <t>)</t>
    </r>
  </si>
  <si>
    <r>
      <t>f'(x</t>
    </r>
    <r>
      <rPr>
        <b/>
        <vertAlign val="superscript"/>
        <sz val="10"/>
        <rFont val="Arial"/>
        <family val="2"/>
        <charset val="204"/>
      </rPr>
      <t>k</t>
    </r>
    <r>
      <rPr>
        <b/>
        <sz val="10"/>
        <rFont val="Arial"/>
        <family val="2"/>
        <charset val="204"/>
      </rPr>
      <t>)</t>
    </r>
  </si>
  <si>
    <r>
      <t>f''(x</t>
    </r>
    <r>
      <rPr>
        <b/>
        <vertAlign val="superscript"/>
        <sz val="10"/>
        <rFont val="Arial"/>
        <family val="2"/>
        <charset val="204"/>
      </rPr>
      <t>k</t>
    </r>
    <r>
      <rPr>
        <b/>
        <sz val="10"/>
        <rFont val="Arial"/>
        <family val="2"/>
        <charset val="204"/>
      </rPr>
      <t>)</t>
    </r>
  </si>
  <si>
    <r>
      <t>f'(x</t>
    </r>
    <r>
      <rPr>
        <b/>
        <vertAlign val="superscript"/>
        <sz val="10"/>
        <rFont val="Arial"/>
        <family val="2"/>
        <charset val="204"/>
      </rPr>
      <t>k</t>
    </r>
    <r>
      <rPr>
        <b/>
        <sz val="10"/>
        <rFont val="Arial"/>
        <family val="2"/>
        <charset val="204"/>
      </rPr>
      <t>)/f''(x</t>
    </r>
    <r>
      <rPr>
        <b/>
        <vertAlign val="superscript"/>
        <sz val="10"/>
        <rFont val="Arial"/>
        <family val="2"/>
        <charset val="204"/>
      </rPr>
      <t>k</t>
    </r>
    <r>
      <rPr>
        <b/>
        <sz val="10"/>
        <rFont val="Arial"/>
        <family val="2"/>
        <charset val="204"/>
      </rPr>
      <t>)</t>
    </r>
  </si>
  <si>
    <r>
      <t>h</t>
    </r>
    <r>
      <rPr>
        <b/>
        <vertAlign val="superscript"/>
        <sz val="10"/>
        <rFont val="Arial"/>
        <family val="2"/>
        <charset val="204"/>
      </rPr>
      <t>k</t>
    </r>
  </si>
  <si>
    <r>
      <t>x</t>
    </r>
    <r>
      <rPr>
        <b/>
        <vertAlign val="superscript"/>
        <sz val="10"/>
        <rFont val="Arial"/>
        <family val="2"/>
        <charset val="204"/>
      </rPr>
      <t>k</t>
    </r>
    <r>
      <rPr>
        <b/>
        <sz val="10"/>
        <rFont val="Arial"/>
        <family val="2"/>
        <charset val="204"/>
      </rPr>
      <t>-x</t>
    </r>
    <r>
      <rPr>
        <b/>
        <vertAlign val="superscript"/>
        <sz val="10"/>
        <rFont val="Arial"/>
        <family val="2"/>
        <charset val="204"/>
      </rPr>
      <t>k-1</t>
    </r>
  </si>
  <si>
    <t>Упражнение 7.1 Используйте Алгоритм Ньютона и найдите локальный минимум заданной целевой функции.</t>
  </si>
  <si>
    <t>Задание по лабораторной работе:</t>
  </si>
  <si>
    <t>1. Исследовать зависимости Количества итераций от Допустимой Погрешности и Начального значения цены.</t>
  </si>
  <si>
    <t>2. Построить графики 7.1 и 7.2 для этих зависимостей.</t>
  </si>
  <si>
    <t>Колличество итераций</t>
  </si>
  <si>
    <t>3. Определить скорость сходимости Метода Ньютона.</t>
  </si>
  <si>
    <t>f '(x)=</t>
  </si>
  <si>
    <t>Цена(k)</t>
  </si>
  <si>
    <r>
      <t>Ошибка: e</t>
    </r>
    <r>
      <rPr>
        <b/>
        <vertAlign val="subscript"/>
        <sz val="10"/>
        <rFont val="Arial Cyr"/>
        <charset val="204"/>
      </rPr>
      <t>k</t>
    </r>
    <r>
      <rPr>
        <b/>
        <sz val="10"/>
        <rFont val="Arial Cyr"/>
        <charset val="204"/>
      </rPr>
      <t>=abs(X</t>
    </r>
    <r>
      <rPr>
        <b/>
        <vertAlign val="superscript"/>
        <sz val="10"/>
        <rFont val="Arial Cyr"/>
        <charset val="204"/>
      </rPr>
      <t>*</t>
    </r>
    <r>
      <rPr>
        <b/>
        <sz val="10"/>
        <rFont val="Arial Cyr"/>
        <charset val="204"/>
      </rPr>
      <t>-X</t>
    </r>
    <r>
      <rPr>
        <b/>
        <vertAlign val="subscript"/>
        <sz val="10"/>
        <rFont val="Arial Cyr"/>
        <charset val="204"/>
      </rPr>
      <t>k</t>
    </r>
    <r>
      <rPr>
        <b/>
        <sz val="10"/>
        <rFont val="Arial Cyr"/>
        <charset val="204"/>
      </rPr>
      <t>)</t>
    </r>
  </si>
  <si>
    <r>
      <t>A</t>
    </r>
    <r>
      <rPr>
        <b/>
        <vertAlign val="subscript"/>
        <sz val="10"/>
        <rFont val="Arial Cyr"/>
        <charset val="204"/>
      </rPr>
      <t>k</t>
    </r>
    <r>
      <rPr>
        <b/>
        <sz val="10"/>
        <rFont val="Arial Cyr"/>
        <charset val="204"/>
      </rPr>
      <t>=e</t>
    </r>
    <r>
      <rPr>
        <b/>
        <vertAlign val="subscript"/>
        <sz val="10"/>
        <rFont val="Arial Cyr"/>
        <charset val="204"/>
      </rPr>
      <t>k+1</t>
    </r>
    <r>
      <rPr>
        <b/>
        <sz val="10"/>
        <rFont val="Arial Cyr"/>
        <charset val="204"/>
      </rPr>
      <t>/(e</t>
    </r>
    <r>
      <rPr>
        <b/>
        <vertAlign val="subscript"/>
        <sz val="10"/>
        <rFont val="Arial Cyr"/>
        <charset val="204"/>
      </rPr>
      <t>k</t>
    </r>
    <r>
      <rPr>
        <b/>
        <sz val="10"/>
        <rFont val="Arial Cyr"/>
        <charset val="204"/>
      </rPr>
      <t>)^sigma=abs(X</t>
    </r>
    <r>
      <rPr>
        <b/>
        <vertAlign val="superscript"/>
        <sz val="10"/>
        <rFont val="Arial Cyr"/>
        <charset val="204"/>
      </rPr>
      <t>*</t>
    </r>
    <r>
      <rPr>
        <b/>
        <sz val="10"/>
        <rFont val="Arial Cyr"/>
        <charset val="204"/>
      </rPr>
      <t>-X</t>
    </r>
    <r>
      <rPr>
        <b/>
        <vertAlign val="subscript"/>
        <sz val="10"/>
        <rFont val="Arial Cyr"/>
        <charset val="204"/>
      </rPr>
      <t>k+1</t>
    </r>
    <r>
      <rPr>
        <b/>
        <sz val="10"/>
        <rFont val="Arial Cyr"/>
        <charset val="204"/>
      </rPr>
      <t>)/abs(X*-Xk)^sigma</t>
    </r>
  </si>
  <si>
    <t>sigma</t>
  </si>
  <si>
    <t>X*</t>
  </si>
  <si>
    <t>List of sigma</t>
  </si>
  <si>
    <r>
      <t xml:space="preserve">Таблица 7.1  Зависимость </t>
    </r>
    <r>
      <rPr>
        <b/>
        <i/>
        <sz val="10"/>
        <rFont val="Arial Cyr"/>
        <charset val="204"/>
      </rPr>
      <t>Количества итераций</t>
    </r>
    <r>
      <rPr>
        <b/>
        <sz val="10"/>
        <rFont val="Arial Cyr"/>
        <charset val="204"/>
      </rPr>
      <t xml:space="preserve"> от </t>
    </r>
    <r>
      <rPr>
        <b/>
        <i/>
        <sz val="10"/>
        <rFont val="Arial Cyr"/>
        <charset val="204"/>
      </rPr>
      <t>Допустимой Погрешности</t>
    </r>
  </si>
  <si>
    <t>Таблица 7.3 Исходные данные для определения скорости сходимости Метода Ньютона</t>
  </si>
  <si>
    <t>Таблица 7.4. Определение скорости сходимости Метода Ньютона</t>
  </si>
  <si>
    <r>
      <t>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</si>
  <si>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r>
      <t>MIN[abs((A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</si>
  <si>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Parametr_A</t>
  </si>
  <si>
    <t>Parametr_B</t>
  </si>
  <si>
    <t>Cost</t>
  </si>
  <si>
    <t>Parametr_D</t>
  </si>
  <si>
    <t>Tolerance</t>
  </si>
  <si>
    <r>
      <t>X*</t>
    </r>
    <r>
      <rPr>
        <vertAlign val="subscript"/>
        <sz val="8"/>
        <rFont val="Arial Cyr"/>
        <charset val="204"/>
      </rPr>
      <t>1</t>
    </r>
  </si>
  <si>
    <r>
      <t>X*</t>
    </r>
    <r>
      <rPr>
        <vertAlign val="subscript"/>
        <sz val="8"/>
        <rFont val="Arial Cyr"/>
        <charset val="204"/>
      </rPr>
      <t>2</t>
    </r>
  </si>
  <si>
    <t>Limit of Credit Value</t>
  </si>
  <si>
    <t>Таблица 7.5  Зависимость Скорости сходимости итерационного алгоритма от Начальной цены</t>
  </si>
  <si>
    <t>SIGMA</t>
  </si>
  <si>
    <r>
      <t xml:space="preserve">Таблица 7.2  Зависимость </t>
    </r>
    <r>
      <rPr>
        <b/>
        <i/>
        <sz val="10"/>
        <rFont val="Arial Cyr"/>
        <charset val="204"/>
      </rPr>
      <t>Количества итераций</t>
    </r>
    <r>
      <rPr>
        <b/>
        <sz val="10"/>
        <rFont val="Arial Cyr"/>
        <charset val="204"/>
      </rPr>
      <t xml:space="preserve"> от </t>
    </r>
    <r>
      <rPr>
        <b/>
        <i/>
        <sz val="10"/>
        <rFont val="Arial Cyr"/>
        <charset val="204"/>
      </rPr>
      <t>Начальной аппроксимации цены.</t>
    </r>
  </si>
  <si>
    <t>Initial Price</t>
  </si>
  <si>
    <t>Initial Price – Optimum Price</t>
  </si>
  <si>
    <t>Логарифм от  Доп.Погрешности</t>
  </si>
  <si>
    <t>Parameters of the Market Models for laboratory works in Methods of Optimization</t>
  </si>
  <si>
    <t>Table 1: List of Market Models parameters among students</t>
  </si>
  <si>
    <t>Name of students from class 
SE-1-16</t>
  </si>
  <si>
    <t>It is a sample</t>
  </si>
  <si>
    <t>Абакиров Нурсултан Ильясович</t>
  </si>
  <si>
    <t>Абдыкеримов Аманжол Нурбекович</t>
  </si>
  <si>
    <t>Акаев Жумгал Салманович</t>
  </si>
  <si>
    <t>Алимбеков Эмил Илиязович</t>
  </si>
  <si>
    <t>Байсеитов Кубанычбек Кычанович</t>
  </si>
  <si>
    <t>Дуйшеев Азамат Болотович</t>
  </si>
  <si>
    <t>Кайдылдаев Руслан Арсенович</t>
  </si>
  <si>
    <t xml:space="preserve">Малик уулу Марат </t>
  </si>
  <si>
    <t>Мурзаев Кубанычбек Торобаевич</t>
  </si>
  <si>
    <t>Назаренко Владислав Александрович</t>
  </si>
  <si>
    <t>Ы</t>
  </si>
  <si>
    <t>Ташполотов Нурланбек Абдибахапович</t>
  </si>
  <si>
    <t>Турдахунов Эрзат Кубатбекович</t>
  </si>
  <si>
    <t xml:space="preserve"> </t>
  </si>
  <si>
    <r>
      <rPr>
        <b/>
        <sz val="14"/>
        <rFont val="Calibri"/>
        <family val="2"/>
        <scheme val="minor"/>
      </rPr>
      <t>Заключение:</t>
    </r>
    <r>
      <rPr>
        <sz val="14"/>
        <rFont val="Calibri"/>
        <family val="2"/>
        <scheme val="minor"/>
      </rPr>
      <t xml:space="preserve"> Скорость сходимости Метода Ньютона зависит от близости задания значения начальной цены относительно оптимальной цены. Если начальная цена задана достаточно близко к оптимальной цене, то   скорость сходимости является квадратичной. Вне этого интервала метод либо сходится с суперлинейной скоростью, либо вовсе не сходится. Поскольку, по определению, скорость сходимости метода оптимизации это максимальное из всех возможных для этого метода значений параметра sigma, то метод Ньютона имеет квадратичную скорость сходимости, потому что ряд {abs(X*-Xk+1)/abs(X*-Xk)^sigma} сходится к значению = 0.998644538749935 только при sigma =2</t>
    </r>
  </si>
  <si>
    <t>Метод Ньютона при значении начальной цены &gt; 2369.44934910976 не сходится</t>
  </si>
  <si>
    <t>Вывод:
Скорость сходимости Метода Ньютона зависит от положения точки X0 относительно оптимальной точки X*.    Метод Ньютона имеет квадратическую скорость сходимости потому, что  ряд {abs(X*-Xk+1)/abs(X*-Xk)^sigma} сходится к значению A=abs(X*-Xk+1)/abs(X*-Xk)^sigma=0.998644538749935  только при SIGMA =2, так как при значениях начальной точки X0 в диапазоне [450.18, 2287.77] метод имеет квадратическую скорость сходимости потому, что  ряд {abs(X*-Xk+1)/abs(X*-Xk)^sigma} сходится к значению A=abs(X*-Xk+1)/abs(X*-Xk)^sigma= 0,999959885841501 только для SIGMA =2</t>
  </si>
  <si>
    <t>Скорость сходимости Метода Ньютона зависит от близости задания значения начальной цены относительно оптимальной цены. Если начальная цена задана достаточно близко к оптимальной цене, то   скорость сходимости является квадратичной. Вне этого интервала метод либо сходится с суперлинейной скоростью, либо вовсе не сходится. Поскольку, по определению, скорость сходимости метода оптимизации это максимальное из всех возможных для этого метода значений параметра sigma, то метод Ньютона имеет квадратичную скорость сходимости, потому что ряд {abs(X*-Xk+1)/abs(X*-Xk)^sigma} сходится к значению =0,999959885841501 только при sigma =2. Метод Ньютона имеет квадратичную скорость в интервале [450.188669658749, 2287.77868189907]</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</si>
</sst>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
    <numFmt numFmtId="165" formatCode="0.0000E+00"/>
    <numFmt numFmtId="166" formatCode="#,##0.000000"/>
    <numFmt numFmtId="167" formatCode="0.000000E+00"/>
    <numFmt numFmtId="168" formatCode="0.000E+00"/>
  </numFmts>
  <fonts count="32">
    <font>
      <sz val="10"/>
      <name val="Arial Cyr"/>
      <charset val="204"/>
    </font>
    <font>
      <sz val="10"/>
      <name val="Arial Cyr"/>
      <charset val="204"/>
    </font>
    <font>
      <sz val="8"/>
      <name val="Arial Cyr"/>
      <charset val="204"/>
    </font>
    <font>
      <b/>
      <sz val="10"/>
      <name val="Arial Cyr"/>
      <charset val="204"/>
    </font>
    <font>
      <b/>
      <i/>
      <sz val="14"/>
      <name val="Arial Cyr"/>
      <charset val="204"/>
    </font>
    <font>
      <sz val="8"/>
      <color indexed="81"/>
      <name val="Tahoma"/>
      <family val="2"/>
      <charset val="204"/>
    </font>
    <font>
      <b/>
      <sz val="8"/>
      <color indexed="81"/>
      <name val="Tahoma"/>
      <family val="2"/>
      <charset val="204"/>
    </font>
    <font>
      <sz val="10"/>
      <name val="Arial Cyr"/>
      <charset val="204"/>
    </font>
    <font>
      <b/>
      <sz val="10"/>
      <name val="Arial"/>
      <family val="2"/>
      <charset val="204"/>
    </font>
    <font>
      <b/>
      <vertAlign val="superscript"/>
      <sz val="10"/>
      <name val="Arial"/>
      <family val="2"/>
      <charset val="204"/>
    </font>
    <font>
      <b/>
      <sz val="8"/>
      <name val="Arial Cyr"/>
      <charset val="204"/>
    </font>
    <font>
      <b/>
      <sz val="8"/>
      <name val="Arial"/>
      <family val="2"/>
    </font>
    <font>
      <b/>
      <sz val="10"/>
      <name val="Arial Cyr"/>
    </font>
    <font>
      <sz val="12"/>
      <name val="Times New Roman"/>
      <family val="1"/>
      <charset val="204"/>
    </font>
    <font>
      <b/>
      <i/>
      <sz val="10"/>
      <name val="Arial Cyr"/>
      <charset val="204"/>
    </font>
    <font>
      <sz val="10"/>
      <name val="Arial Cyr"/>
    </font>
    <font>
      <b/>
      <vertAlign val="subscript"/>
      <sz val="10"/>
      <name val="Arial Cyr"/>
      <charset val="204"/>
    </font>
    <font>
      <b/>
      <vertAlign val="superscript"/>
      <sz val="10"/>
      <name val="Arial Cyr"/>
      <charset val="204"/>
    </font>
    <font>
      <sz val="10"/>
      <name val="Arial"/>
      <family val="2"/>
      <charset val="204"/>
    </font>
    <font>
      <vertAlign val="subscript"/>
      <sz val="8"/>
      <name val="Arial Cyr"/>
      <charset val="204"/>
    </font>
    <font>
      <b/>
      <sz val="12"/>
      <name val="Times New Roman"/>
      <family val="1"/>
      <charset val="204"/>
    </font>
    <font>
      <sz val="9"/>
      <color indexed="81"/>
      <name val="Tahoma"/>
      <family val="2"/>
      <charset val="204"/>
    </font>
    <font>
      <b/>
      <sz val="9"/>
      <color indexed="81"/>
      <name val="Tahoma"/>
      <family val="2"/>
      <charset val="204"/>
    </font>
    <font>
      <b/>
      <sz val="10"/>
      <name val="Arial"/>
      <family val="2"/>
    </font>
    <font>
      <sz val="14"/>
      <name val="Times New Roman"/>
      <family val="1"/>
      <charset val="204"/>
    </font>
    <font>
      <sz val="14"/>
      <name val="Times New Roman"/>
      <family val="1"/>
    </font>
    <font>
      <b/>
      <sz val="14"/>
      <name val="Calibri"/>
      <family val="2"/>
      <scheme val="minor"/>
    </font>
    <font>
      <sz val="14"/>
      <name val="Calibri"/>
      <family val="2"/>
      <scheme val="minor"/>
    </font>
    <font>
      <b/>
      <sz val="9"/>
      <color indexed="81"/>
      <name val="Tahoma"/>
      <family val="2"/>
    </font>
    <font>
      <sz val="16"/>
      <name val="Arial Cyr"/>
      <charset val="204"/>
    </font>
    <font>
      <sz val="14"/>
      <name val="Arial Cyr"/>
    </font>
    <font>
      <sz val="10"/>
      <color rgb="FF000000"/>
      <name val="Arial Cyr"/>
    </font>
  </fonts>
  <fills count="10">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indexed="15"/>
        <bgColor indexed="64"/>
      </patternFill>
    </fill>
    <fill>
      <patternFill patternType="solid">
        <fgColor rgb="FFFFFF00"/>
        <bgColor indexed="64"/>
      </patternFill>
    </fill>
    <fill>
      <patternFill patternType="solid">
        <fgColor rgb="FF00B050"/>
        <bgColor indexed="64"/>
      </patternFill>
    </fill>
    <fill>
      <patternFill patternType="solid">
        <fgColor theme="0"/>
        <bgColor indexed="64"/>
      </patternFill>
    </fill>
    <fill>
      <patternFill patternType="solid">
        <fgColor theme="8" tint="0.59999389629810485"/>
        <bgColor indexed="64"/>
      </patternFill>
    </fill>
    <fill>
      <patternFill patternType="solid">
        <fgColor theme="8" tint="0.39997558519241921"/>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right/>
      <top style="medium">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s>
  <cellStyleXfs count="1">
    <xf numFmtId="0" fontId="0" fillId="0" borderId="0"/>
  </cellStyleXfs>
  <cellXfs count="166">
    <xf numFmtId="0" fontId="0" fillId="0" borderId="0" xfId="0"/>
    <xf numFmtId="0" fontId="0" fillId="0" borderId="1" xfId="0" applyBorder="1"/>
    <xf numFmtId="11" fontId="0" fillId="0" borderId="1" xfId="0" applyNumberFormat="1" applyBorder="1"/>
    <xf numFmtId="0" fontId="3" fillId="0" borderId="1"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0" xfId="0" applyBorder="1"/>
    <xf numFmtId="0" fontId="0" fillId="0" borderId="1" xfId="0" applyBorder="1" applyProtection="1">
      <protection locked="0"/>
    </xf>
    <xf numFmtId="0" fontId="0" fillId="0" borderId="1" xfId="0" applyBorder="1" applyAlignment="1">
      <alignment wrapText="1"/>
    </xf>
    <xf numFmtId="0" fontId="2" fillId="0" borderId="1" xfId="0" applyFont="1" applyBorder="1" applyAlignment="1">
      <alignment wrapText="1"/>
    </xf>
    <xf numFmtId="0" fontId="7" fillId="0" borderId="1" xfId="0" applyFont="1" applyBorder="1" applyAlignment="1">
      <alignment wrapText="1"/>
    </xf>
    <xf numFmtId="0" fontId="7" fillId="0" borderId="1" xfId="0" applyFont="1" applyFill="1" applyBorder="1" applyAlignment="1">
      <alignment horizontal="center" vertical="center" wrapText="1"/>
    </xf>
    <xf numFmtId="0" fontId="0" fillId="0" borderId="1" xfId="0" applyBorder="1" applyAlignment="1" applyProtection="1">
      <protection locked="0"/>
    </xf>
    <xf numFmtId="11" fontId="2" fillId="0" borderId="1" xfId="0" applyNumberFormat="1" applyFont="1" applyBorder="1" applyAlignment="1" applyProtection="1">
      <protection locked="0"/>
    </xf>
    <xf numFmtId="164" fontId="1" fillId="2" borderId="1" xfId="0" applyNumberFormat="1" applyFont="1" applyFill="1" applyBorder="1" applyAlignment="1" applyProtection="1">
      <alignment wrapText="1"/>
      <protection locked="0"/>
    </xf>
    <xf numFmtId="165" fontId="0" fillId="2" borderId="1" xfId="0" applyNumberFormat="1" applyFill="1" applyBorder="1" applyAlignment="1" applyProtection="1">
      <protection locked="0"/>
    </xf>
    <xf numFmtId="1" fontId="0" fillId="2" borderId="1" xfId="0" applyNumberFormat="1" applyFill="1" applyBorder="1" applyAlignment="1" applyProtection="1">
      <protection locked="0"/>
    </xf>
    <xf numFmtId="0" fontId="0" fillId="0" borderId="0" xfId="0" applyBorder="1" applyProtection="1">
      <protection locked="0"/>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11" fontId="0" fillId="0" borderId="1" xfId="0" applyNumberFormat="1" applyBorder="1" applyProtection="1">
      <protection locked="0"/>
    </xf>
    <xf numFmtId="0" fontId="8" fillId="0" borderId="6" xfId="0" applyFont="1" applyBorder="1" applyAlignment="1">
      <alignment horizontal="center" vertical="center"/>
    </xf>
    <xf numFmtId="0" fontId="8" fillId="0" borderId="7" xfId="0" applyFont="1" applyBorder="1" applyAlignment="1">
      <alignment horizontal="center" vertical="center"/>
    </xf>
    <xf numFmtId="0" fontId="8" fillId="0" borderId="8" xfId="0" applyFont="1" applyBorder="1" applyAlignment="1">
      <alignment horizontal="center" vertical="center"/>
    </xf>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1" fontId="2" fillId="3" borderId="1" xfId="0" applyNumberFormat="1" applyFont="1" applyFill="1" applyBorder="1" applyAlignment="1" applyProtection="1">
      <protection locked="0"/>
    </xf>
    <xf numFmtId="11" fontId="0" fillId="3" borderId="1" xfId="0" applyNumberFormat="1" applyFill="1" applyBorder="1" applyProtection="1">
      <protection locked="0"/>
    </xf>
    <xf numFmtId="0" fontId="12" fillId="0" borderId="0" xfId="0" applyFont="1" applyFill="1" applyBorder="1"/>
    <xf numFmtId="0" fontId="2" fillId="0" borderId="0" xfId="0" applyFont="1" applyBorder="1" applyAlignment="1" applyProtection="1">
      <alignment wrapText="1"/>
      <protection locked="0"/>
    </xf>
    <xf numFmtId="0" fontId="3" fillId="0" borderId="0" xfId="0" applyFont="1" applyBorder="1"/>
    <xf numFmtId="1" fontId="0" fillId="0" borderId="0" xfId="0" applyNumberFormat="1" applyBorder="1" applyProtection="1">
      <protection locked="0"/>
    </xf>
    <xf numFmtId="0" fontId="0" fillId="3" borderId="1" xfId="0" applyFill="1" applyBorder="1" applyProtection="1">
      <protection locked="0"/>
    </xf>
    <xf numFmtId="0" fontId="1" fillId="0" borderId="12" xfId="0" applyFont="1" applyBorder="1" applyProtection="1">
      <protection locked="0"/>
    </xf>
    <xf numFmtId="0" fontId="1" fillId="0" borderId="2" xfId="0" applyFont="1" applyBorder="1" applyProtection="1">
      <protection locked="0"/>
    </xf>
    <xf numFmtId="164" fontId="1" fillId="0" borderId="1" xfId="0" applyNumberFormat="1" applyFont="1" applyBorder="1" applyProtection="1">
      <protection locked="0"/>
    </xf>
    <xf numFmtId="0" fontId="1" fillId="0" borderId="1" xfId="0" applyFont="1" applyBorder="1" applyProtection="1">
      <protection locked="0"/>
    </xf>
    <xf numFmtId="1" fontId="1" fillId="0" borderId="3" xfId="0" applyNumberFormat="1" applyFont="1" applyBorder="1" applyProtection="1">
      <protection locked="0"/>
    </xf>
    <xf numFmtId="0" fontId="1" fillId="0" borderId="14" xfId="0" applyFont="1" applyBorder="1" applyProtection="1">
      <protection locked="0"/>
    </xf>
    <xf numFmtId="164" fontId="1" fillId="0" borderId="4" xfId="0" applyNumberFormat="1" applyFont="1" applyBorder="1" applyProtection="1">
      <protection locked="0"/>
    </xf>
    <xf numFmtId="0" fontId="1" fillId="0" borderId="4" xfId="0" applyFont="1" applyBorder="1" applyProtection="1">
      <protection locked="0"/>
    </xf>
    <xf numFmtId="0" fontId="1" fillId="0" borderId="16" xfId="0" applyFont="1" applyBorder="1" applyAlignment="1" applyProtection="1">
      <alignment wrapText="1"/>
      <protection locked="0"/>
    </xf>
    <xf numFmtId="0" fontId="0" fillId="0" borderId="0" xfId="0" applyProtection="1">
      <protection locked="0"/>
    </xf>
    <xf numFmtId="0" fontId="15" fillId="0" borderId="0" xfId="0" applyFont="1"/>
    <xf numFmtId="0" fontId="15" fillId="0" borderId="0" xfId="0" applyFont="1" applyBorder="1" applyAlignment="1" applyProtection="1">
      <protection locked="0"/>
    </xf>
    <xf numFmtId="0" fontId="18" fillId="0" borderId="2" xfId="0" applyFont="1" applyBorder="1" applyAlignment="1">
      <alignment horizontal="center"/>
    </xf>
    <xf numFmtId="0" fontId="8" fillId="0" borderId="14" xfId="0" applyFont="1" applyBorder="1" applyAlignment="1">
      <alignment horizontal="center"/>
    </xf>
    <xf numFmtId="0" fontId="12" fillId="0" borderId="19" xfId="0" applyFont="1" applyBorder="1" applyAlignment="1" applyProtection="1">
      <alignment wrapText="1"/>
      <protection locked="0"/>
    </xf>
    <xf numFmtId="0" fontId="3" fillId="0" borderId="19" xfId="0" applyFont="1" applyBorder="1" applyAlignment="1" applyProtection="1">
      <alignment wrapText="1"/>
      <protection locked="0"/>
    </xf>
    <xf numFmtId="0" fontId="1" fillId="0" borderId="9" xfId="0" applyFont="1" applyBorder="1" applyProtection="1">
      <protection locked="0"/>
    </xf>
    <xf numFmtId="164" fontId="1" fillId="0" borderId="10" xfId="0" applyNumberFormat="1" applyFont="1" applyBorder="1" applyProtection="1">
      <protection locked="0"/>
    </xf>
    <xf numFmtId="0" fontId="1" fillId="0" borderId="10" xfId="0" applyFont="1" applyBorder="1" applyProtection="1">
      <protection locked="0"/>
    </xf>
    <xf numFmtId="1" fontId="1" fillId="0" borderId="11" xfId="0" applyNumberFormat="1" applyFont="1" applyBorder="1" applyProtection="1">
      <protection locked="0"/>
    </xf>
    <xf numFmtId="0" fontId="11" fillId="3" borderId="1" xfId="0" applyFont="1" applyFill="1" applyBorder="1"/>
    <xf numFmtId="11" fontId="11" fillId="3" borderId="1" xfId="0" applyNumberFormat="1" applyFont="1" applyFill="1" applyBorder="1"/>
    <xf numFmtId="0" fontId="2" fillId="3" borderId="1" xfId="0" applyFont="1" applyFill="1" applyBorder="1"/>
    <xf numFmtId="0" fontId="2" fillId="3" borderId="1" xfId="0" applyFont="1" applyFill="1" applyBorder="1" applyAlignment="1">
      <alignment horizontal="center"/>
    </xf>
    <xf numFmtId="166" fontId="2" fillId="3" borderId="1" xfId="0" applyNumberFormat="1" applyFont="1" applyFill="1" applyBorder="1" applyProtection="1">
      <protection hidden="1"/>
    </xf>
    <xf numFmtId="167" fontId="0" fillId="3" borderId="1" xfId="0" applyNumberFormat="1" applyFill="1" applyBorder="1" applyProtection="1">
      <protection hidden="1"/>
    </xf>
    <xf numFmtId="0" fontId="0" fillId="3" borderId="1" xfId="0" applyFill="1" applyBorder="1" applyProtection="1">
      <protection hidden="1"/>
    </xf>
    <xf numFmtId="0" fontId="0" fillId="0" borderId="1" xfId="0" applyBorder="1" applyProtection="1">
      <protection hidden="1"/>
    </xf>
    <xf numFmtId="0" fontId="13" fillId="0" borderId="0" xfId="0" applyFont="1" applyBorder="1" applyAlignment="1">
      <alignment horizontal="left"/>
    </xf>
    <xf numFmtId="0" fontId="13" fillId="0" borderId="0" xfId="0" applyFont="1" applyBorder="1" applyAlignment="1">
      <alignment wrapText="1"/>
    </xf>
    <xf numFmtId="2" fontId="1" fillId="0" borderId="10" xfId="0" applyNumberFormat="1" applyFont="1" applyBorder="1" applyProtection="1">
      <protection locked="0"/>
    </xf>
    <xf numFmtId="2" fontId="1" fillId="0" borderId="1" xfId="0" applyNumberFormat="1" applyFont="1" applyBorder="1" applyProtection="1">
      <protection locked="0"/>
    </xf>
    <xf numFmtId="2" fontId="1" fillId="0" borderId="4" xfId="0" applyNumberFormat="1" applyFont="1" applyBorder="1" applyProtection="1">
      <protection locked="0"/>
    </xf>
    <xf numFmtId="0" fontId="3" fillId="3" borderId="21" xfId="0" applyFont="1" applyFill="1" applyBorder="1" applyAlignment="1">
      <alignment horizontal="center" wrapText="1"/>
    </xf>
    <xf numFmtId="0" fontId="20" fillId="3" borderId="21" xfId="0" applyFont="1" applyFill="1" applyBorder="1" applyAlignment="1">
      <alignment wrapText="1"/>
    </xf>
    <xf numFmtId="2" fontId="0" fillId="2" borderId="0" xfId="0" applyNumberFormat="1" applyFill="1" applyBorder="1"/>
    <xf numFmtId="0" fontId="1" fillId="0" borderId="0" xfId="0" applyFont="1" applyBorder="1" applyProtection="1">
      <protection locked="0"/>
    </xf>
    <xf numFmtId="164" fontId="1" fillId="0" borderId="0" xfId="0" applyNumberFormat="1" applyFont="1" applyBorder="1" applyProtection="1">
      <protection locked="0"/>
    </xf>
    <xf numFmtId="1" fontId="1" fillId="0" borderId="0" xfId="0" applyNumberFormat="1" applyFont="1" applyBorder="1" applyProtection="1">
      <protection locked="0"/>
    </xf>
    <xf numFmtId="2" fontId="1" fillId="5" borderId="1" xfId="0" applyNumberFormat="1" applyFont="1" applyFill="1" applyBorder="1" applyProtection="1">
      <protection locked="0"/>
    </xf>
    <xf numFmtId="2" fontId="0" fillId="3" borderId="16" xfId="0" applyNumberFormat="1" applyFill="1" applyBorder="1" applyProtection="1">
      <protection locked="0"/>
    </xf>
    <xf numFmtId="0" fontId="23" fillId="0" borderId="18" xfId="0" applyFont="1" applyBorder="1" applyAlignment="1">
      <alignment wrapText="1"/>
    </xf>
    <xf numFmtId="0" fontId="23" fillId="0" borderId="24" xfId="0" applyFont="1" applyBorder="1" applyAlignment="1">
      <alignment wrapText="1"/>
    </xf>
    <xf numFmtId="1" fontId="1" fillId="0" borderId="10" xfId="0" applyNumberFormat="1" applyFont="1" applyBorder="1" applyProtection="1">
      <protection locked="0"/>
    </xf>
    <xf numFmtId="1" fontId="1" fillId="0" borderId="1" xfId="0" applyNumberFormat="1" applyFont="1" applyBorder="1" applyProtection="1">
      <protection locked="0"/>
    </xf>
    <xf numFmtId="1" fontId="1" fillId="0" borderId="4" xfId="0" applyNumberFormat="1" applyFont="1" applyBorder="1" applyProtection="1">
      <protection locked="0"/>
    </xf>
    <xf numFmtId="0" fontId="0" fillId="4" borderId="25" xfId="0" applyFill="1" applyBorder="1"/>
    <xf numFmtId="0" fontId="3" fillId="4" borderId="26" xfId="0" applyFont="1" applyFill="1" applyBorder="1" applyAlignment="1">
      <alignment horizontal="center"/>
    </xf>
    <xf numFmtId="0" fontId="3" fillId="4" borderId="20" xfId="0" applyFont="1" applyFill="1" applyBorder="1" applyAlignment="1">
      <alignment horizontal="center"/>
    </xf>
    <xf numFmtId="11" fontId="0" fillId="0" borderId="22" xfId="0" applyNumberFormat="1" applyBorder="1"/>
    <xf numFmtId="0" fontId="18" fillId="0" borderId="13" xfId="0" applyFont="1" applyBorder="1" applyAlignment="1">
      <alignment horizontal="center"/>
    </xf>
    <xf numFmtId="0" fontId="0" fillId="0" borderId="25" xfId="0" applyBorder="1"/>
    <xf numFmtId="0" fontId="0" fillId="0" borderId="23" xfId="0" applyBorder="1"/>
    <xf numFmtId="0" fontId="3" fillId="3" borderId="6" xfId="0" applyFont="1" applyFill="1" applyBorder="1" applyAlignment="1">
      <alignment horizontal="center" wrapText="1"/>
    </xf>
    <xf numFmtId="0" fontId="3" fillId="3" borderId="7" xfId="0" applyFont="1" applyFill="1" applyBorder="1" applyAlignment="1">
      <alignment horizontal="center" wrapText="1"/>
    </xf>
    <xf numFmtId="0" fontId="3" fillId="3" borderId="8" xfId="0" applyFont="1" applyFill="1" applyBorder="1" applyAlignment="1">
      <alignment horizontal="center" wrapText="1"/>
    </xf>
    <xf numFmtId="0" fontId="12" fillId="0" borderId="17" xfId="0" applyFont="1" applyBorder="1" applyAlignment="1" applyProtection="1">
      <alignment wrapText="1"/>
      <protection locked="0"/>
    </xf>
    <xf numFmtId="0" fontId="12" fillId="0" borderId="18" xfId="0" applyFont="1" applyBorder="1" applyAlignment="1" applyProtection="1">
      <alignment wrapText="1"/>
      <protection locked="0"/>
    </xf>
    <xf numFmtId="0" fontId="3" fillId="0" borderId="18" xfId="0" applyFont="1" applyBorder="1" applyAlignment="1" applyProtection="1">
      <alignment wrapText="1"/>
      <protection locked="0"/>
    </xf>
    <xf numFmtId="0" fontId="12" fillId="0" borderId="24" xfId="0" applyFont="1" applyFill="1" applyBorder="1" applyAlignment="1" applyProtection="1">
      <alignment wrapText="1"/>
      <protection locked="0"/>
    </xf>
    <xf numFmtId="1" fontId="0" fillId="0" borderId="11" xfId="0" applyNumberFormat="1" applyBorder="1" applyProtection="1">
      <protection locked="0"/>
    </xf>
    <xf numFmtId="1" fontId="0" fillId="0" borderId="3" xfId="0" applyNumberFormat="1" applyBorder="1" applyProtection="1">
      <protection locked="0"/>
    </xf>
    <xf numFmtId="1" fontId="0" fillId="0" borderId="5" xfId="0" applyNumberFormat="1" applyBorder="1" applyProtection="1">
      <protection locked="0"/>
    </xf>
    <xf numFmtId="166" fontId="1" fillId="0" borderId="1" xfId="0" applyNumberFormat="1" applyFont="1" applyFill="1" applyBorder="1" applyProtection="1">
      <protection hidden="1"/>
    </xf>
    <xf numFmtId="167" fontId="1" fillId="0" borderId="1" xfId="0" applyNumberFormat="1" applyFont="1" applyFill="1" applyBorder="1" applyProtection="1">
      <protection hidden="1"/>
    </xf>
    <xf numFmtId="0" fontId="0" fillId="0" borderId="0" xfId="0" applyAlignment="1"/>
    <xf numFmtId="0" fontId="0" fillId="0" borderId="1" xfId="0" applyBorder="1" applyAlignment="1">
      <alignment vertical="center"/>
    </xf>
    <xf numFmtId="0" fontId="23" fillId="0" borderId="0" xfId="0" applyFont="1"/>
    <xf numFmtId="0" fontId="10" fillId="0" borderId="17"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24" xfId="0" applyFont="1" applyFill="1" applyBorder="1" applyAlignment="1">
      <alignment horizontal="center" vertical="center" wrapText="1"/>
    </xf>
    <xf numFmtId="0" fontId="0" fillId="6" borderId="1" xfId="0" applyFill="1" applyBorder="1"/>
    <xf numFmtId="11" fontId="0" fillId="6" borderId="1" xfId="0" applyNumberFormat="1" applyFill="1" applyBorder="1"/>
    <xf numFmtId="166" fontId="1" fillId="6" borderId="1" xfId="0" applyNumberFormat="1" applyFont="1" applyFill="1" applyBorder="1" applyProtection="1">
      <protection hidden="1"/>
    </xf>
    <xf numFmtId="167" fontId="1" fillId="6" borderId="1" xfId="0" applyNumberFormat="1" applyFont="1" applyFill="1" applyBorder="1" applyProtection="1">
      <protection hidden="1"/>
    </xf>
    <xf numFmtId="0" fontId="0" fillId="6" borderId="1" xfId="0" applyFill="1" applyBorder="1" applyProtection="1">
      <protection hidden="1"/>
    </xf>
    <xf numFmtId="0" fontId="0" fillId="3" borderId="1" xfId="0" applyNumberFormat="1" applyFill="1" applyBorder="1" applyProtection="1">
      <protection locked="0"/>
    </xf>
    <xf numFmtId="0" fontId="2" fillId="0" borderId="0" xfId="0" applyFont="1"/>
    <xf numFmtId="0" fontId="2" fillId="0" borderId="1" xfId="0" applyFont="1" applyBorder="1"/>
    <xf numFmtId="2" fontId="0" fillId="0" borderId="1" xfId="0" applyNumberFormat="1" applyBorder="1"/>
    <xf numFmtId="0" fontId="1" fillId="0" borderId="1" xfId="0" applyNumberFormat="1" applyFont="1" applyBorder="1" applyProtection="1">
      <protection locked="0"/>
    </xf>
    <xf numFmtId="168" fontId="1" fillId="0" borderId="1" xfId="0" applyNumberFormat="1" applyFont="1" applyBorder="1" applyProtection="1">
      <protection locked="0"/>
    </xf>
    <xf numFmtId="0" fontId="0" fillId="7" borderId="3" xfId="0" applyFill="1" applyBorder="1"/>
    <xf numFmtId="168" fontId="1" fillId="0" borderId="4" xfId="0" applyNumberFormat="1" applyFont="1" applyBorder="1" applyProtection="1">
      <protection locked="0"/>
    </xf>
    <xf numFmtId="0" fontId="0" fillId="8" borderId="2" xfId="0" applyFill="1" applyBorder="1"/>
    <xf numFmtId="2" fontId="1" fillId="8" borderId="1" xfId="0" applyNumberFormat="1" applyFont="1" applyFill="1" applyBorder="1" applyProtection="1">
      <protection locked="0"/>
    </xf>
    <xf numFmtId="1" fontId="1" fillId="8" borderId="1" xfId="0" applyNumberFormat="1" applyFont="1" applyFill="1" applyBorder="1" applyProtection="1">
      <protection locked="0"/>
    </xf>
    <xf numFmtId="0" fontId="0" fillId="8" borderId="3" xfId="0" applyFill="1" applyBorder="1"/>
    <xf numFmtId="0" fontId="0" fillId="5" borderId="2" xfId="0" applyFill="1" applyBorder="1"/>
    <xf numFmtId="1" fontId="1" fillId="5" borderId="1" xfId="0" applyNumberFormat="1" applyFont="1" applyFill="1" applyBorder="1" applyProtection="1">
      <protection locked="0"/>
    </xf>
    <xf numFmtId="0" fontId="0" fillId="5" borderId="3" xfId="0" applyFill="1" applyBorder="1"/>
    <xf numFmtId="0" fontId="0" fillId="0" borderId="0" xfId="0" applyAlignment="1">
      <alignment horizontal="center"/>
    </xf>
    <xf numFmtId="164" fontId="29" fillId="0" borderId="27" xfId="0" applyNumberFormat="1" applyFont="1" applyBorder="1" applyAlignment="1" applyProtection="1">
      <alignment vertical="center" wrapText="1"/>
      <protection locked="0"/>
    </xf>
    <xf numFmtId="164" fontId="29" fillId="0" borderId="0" xfId="0" applyNumberFormat="1" applyFont="1" applyBorder="1" applyAlignment="1" applyProtection="1">
      <alignment vertical="center" wrapText="1"/>
      <protection locked="0"/>
    </xf>
    <xf numFmtId="0" fontId="1" fillId="0" borderId="21" xfId="0" applyFont="1" applyBorder="1" applyProtection="1">
      <protection locked="0"/>
    </xf>
    <xf numFmtId="2" fontId="1" fillId="0" borderId="21" xfId="0" applyNumberFormat="1" applyFont="1" applyBorder="1" applyProtection="1">
      <protection locked="0"/>
    </xf>
    <xf numFmtId="1" fontId="1" fillId="0" borderId="28" xfId="0" applyNumberFormat="1" applyFont="1" applyBorder="1" applyProtection="1">
      <protection locked="0"/>
    </xf>
    <xf numFmtId="0" fontId="1" fillId="0" borderId="29" xfId="0" applyFont="1" applyBorder="1" applyProtection="1">
      <protection locked="0"/>
    </xf>
    <xf numFmtId="0" fontId="1" fillId="0" borderId="30" xfId="0" applyFont="1" applyBorder="1" applyProtection="1">
      <protection locked="0"/>
    </xf>
    <xf numFmtId="0" fontId="1" fillId="0" borderId="31" xfId="0" applyFont="1" applyBorder="1" applyProtection="1">
      <protection locked="0"/>
    </xf>
    <xf numFmtId="0" fontId="1" fillId="0" borderId="32" xfId="0" applyFont="1" applyBorder="1" applyProtection="1">
      <protection locked="0"/>
    </xf>
    <xf numFmtId="0" fontId="0" fillId="7" borderId="2" xfId="0" applyFill="1" applyBorder="1"/>
    <xf numFmtId="2" fontId="1" fillId="7" borderId="1" xfId="0" applyNumberFormat="1" applyFont="1" applyFill="1" applyBorder="1" applyProtection="1">
      <protection locked="0"/>
    </xf>
    <xf numFmtId="1" fontId="1" fillId="7" borderId="1" xfId="0" applyNumberFormat="1" applyFont="1" applyFill="1" applyBorder="1" applyProtection="1">
      <protection locked="0"/>
    </xf>
    <xf numFmtId="0" fontId="0" fillId="9" borderId="2" xfId="0" applyFill="1" applyBorder="1"/>
    <xf numFmtId="2" fontId="1" fillId="9" borderId="1" xfId="0" applyNumberFormat="1" applyFont="1" applyFill="1" applyBorder="1" applyProtection="1">
      <protection locked="0"/>
    </xf>
    <xf numFmtId="1" fontId="1" fillId="9" borderId="1" xfId="0" applyNumberFormat="1" applyFont="1" applyFill="1" applyBorder="1" applyProtection="1">
      <protection locked="0"/>
    </xf>
    <xf numFmtId="0" fontId="0" fillId="9" borderId="3" xfId="0" applyFill="1" applyBorder="1"/>
    <xf numFmtId="0" fontId="24" fillId="0" borderId="0" xfId="0" applyFont="1" applyBorder="1" applyAlignment="1">
      <alignment vertical="center" wrapText="1"/>
    </xf>
    <xf numFmtId="0" fontId="30" fillId="0" borderId="0" xfId="0" applyFont="1" applyAlignment="1">
      <alignment vertical="center" wrapText="1"/>
    </xf>
    <xf numFmtId="2" fontId="1" fillId="0" borderId="0" xfId="0" applyNumberFormat="1" applyFont="1" applyBorder="1" applyProtection="1">
      <protection locked="0"/>
    </xf>
    <xf numFmtId="0" fontId="1" fillId="0" borderId="33" xfId="0" applyFont="1" applyBorder="1" applyProtection="1">
      <protection locked="0"/>
    </xf>
    <xf numFmtId="2" fontId="1" fillId="0" borderId="27" xfId="0" applyNumberFormat="1" applyFont="1" applyBorder="1" applyProtection="1">
      <protection locked="0"/>
    </xf>
    <xf numFmtId="1" fontId="1" fillId="0" borderId="34" xfId="0" applyNumberFormat="1" applyFont="1" applyBorder="1" applyProtection="1">
      <protection locked="0"/>
    </xf>
    <xf numFmtId="0" fontId="1" fillId="0" borderId="35" xfId="0" applyFont="1" applyBorder="1" applyProtection="1">
      <protection locked="0"/>
    </xf>
    <xf numFmtId="1" fontId="1" fillId="0" borderId="36" xfId="0" applyNumberFormat="1" applyFont="1" applyBorder="1" applyProtection="1">
      <protection locked="0"/>
    </xf>
    <xf numFmtId="0" fontId="1" fillId="0" borderId="22" xfId="0" applyFont="1" applyBorder="1" applyProtection="1">
      <protection locked="0"/>
    </xf>
    <xf numFmtId="2" fontId="1" fillId="0" borderId="37" xfId="0" applyNumberFormat="1" applyFont="1" applyBorder="1" applyProtection="1">
      <protection locked="0"/>
    </xf>
    <xf numFmtId="1" fontId="1" fillId="0" borderId="23" xfId="0" applyNumberFormat="1" applyFont="1" applyBorder="1" applyProtection="1">
      <protection locked="0"/>
    </xf>
    <xf numFmtId="0" fontId="13" fillId="0" borderId="21" xfId="0" applyFont="1" applyBorder="1" applyAlignment="1">
      <alignment horizontal="center" wrapText="1"/>
    </xf>
    <xf numFmtId="0" fontId="27" fillId="0" borderId="0" xfId="0" applyFont="1" applyAlignment="1">
      <alignment vertical="center" wrapText="1"/>
    </xf>
    <xf numFmtId="0" fontId="25" fillId="0" borderId="0" xfId="0" applyFont="1" applyAlignment="1">
      <alignment vertical="center" wrapText="1"/>
    </xf>
    <xf numFmtId="0" fontId="24" fillId="0" borderId="0" xfId="0" applyFont="1" applyBorder="1" applyAlignment="1">
      <alignment horizontal="center" vertical="center" wrapText="1"/>
    </xf>
    <xf numFmtId="0" fontId="30" fillId="0" borderId="0" xfId="0" applyFont="1" applyAlignment="1">
      <alignment horizontal="center" vertical="center" wrapText="1"/>
    </xf>
    <xf numFmtId="164" fontId="29" fillId="0" borderId="27" xfId="0" applyNumberFormat="1" applyFont="1" applyBorder="1" applyAlignment="1" applyProtection="1">
      <alignment horizontal="center" vertical="center" wrapText="1"/>
      <protection locked="0"/>
    </xf>
    <xf numFmtId="164" fontId="29" fillId="0" borderId="0" xfId="0" applyNumberFormat="1" applyFont="1" applyBorder="1" applyAlignment="1" applyProtection="1">
      <alignment horizontal="center" vertical="center" wrapText="1"/>
      <protection locked="0"/>
    </xf>
  </cellXfs>
  <cellStyles count="1">
    <cellStyle name="Normal" xfId="0" builtinId="0"/>
  </cellStyles>
  <dxfs count="4">
    <dxf>
      <fill>
        <patternFill>
          <bgColor indexed="11"/>
        </patternFill>
      </fill>
    </dxf>
    <dxf>
      <fill>
        <patternFill>
          <bgColor indexed="26"/>
        </patternFill>
      </fill>
    </dxf>
    <dxf>
      <fill>
        <patternFill>
          <bgColor indexed="26"/>
        </patternFill>
      </fill>
    </dxf>
    <dxf>
      <fill>
        <patternFill>
          <bgColor indexed="1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f(x)=[exp(x)-2-x]^2;</a:t>
            </a:r>
          </a:p>
        </c:rich>
      </c:tx>
      <c:layout>
        <c:manualLayout>
          <c:xMode val="edge"/>
          <c:yMode val="edge"/>
          <c:x val="0.34897993959257373"/>
          <c:y val="3.7288197312296927E-2"/>
        </c:manualLayout>
      </c:layout>
      <c:overlay val="0"/>
      <c:spPr>
        <a:noFill/>
        <a:ln w="25400">
          <a:noFill/>
        </a:ln>
      </c:spPr>
    </c:title>
    <c:autoTitleDeleted val="0"/>
    <c:plotArea>
      <c:layout>
        <c:manualLayout>
          <c:layoutTarget val="inner"/>
          <c:xMode val="edge"/>
          <c:yMode val="edge"/>
          <c:x val="0.17551037897638211"/>
          <c:y val="0.22372918387378157"/>
          <c:w val="0.79591916047429101"/>
          <c:h val="0.38305148148086843"/>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sheet2!$B$5:$B$21</c:f>
              <c:numCache>
                <c:formatCode>General</c:formatCode>
                <c:ptCount val="17"/>
                <c:pt idx="0">
                  <c:v>5</c:v>
                </c:pt>
                <c:pt idx="1">
                  <c:v>4.5120076664949806</c:v>
                </c:pt>
                <c:pt idx="2">
                  <c:v>4.030371890576081</c:v>
                </c:pt>
                <c:pt idx="3">
                  <c:v>3.5582714021424131</c:v>
                </c:pt>
                <c:pt idx="4">
                  <c:v>3.1003141501332458</c:v>
                </c:pt>
                <c:pt idx="5">
                  <c:v>2.6630369045641196</c:v>
                </c:pt>
                <c:pt idx="6">
                  <c:v>2.2554566285548883</c:v>
                </c:pt>
                <c:pt idx="7">
                  <c:v>1.8895818425949162</c:v>
                </c:pt>
                <c:pt idx="8">
                  <c:v>1.580716354467075</c:v>
                </c:pt>
                <c:pt idx="9">
                  <c:v>1.3470145482952147</c:v>
                </c:pt>
                <c:pt idx="10">
                  <c:v>1.2052840617562166</c:v>
                </c:pt>
                <c:pt idx="11">
                  <c:v>1.1528761847400253</c:v>
                </c:pt>
                <c:pt idx="12">
                  <c:v>1.1462897954013189</c:v>
                </c:pt>
                <c:pt idx="13">
                  <c:v>1.1461932411241356</c:v>
                </c:pt>
                <c:pt idx="14">
                  <c:v>1.1461932206205836</c:v>
                </c:pt>
                <c:pt idx="15">
                  <c:v>1.1461932206205827</c:v>
                </c:pt>
                <c:pt idx="16">
                  <c:v>1.1461932206205827</c:v>
                </c:pt>
              </c:numCache>
            </c:numRef>
          </c:cat>
          <c:val>
            <c:numRef>
              <c:f>sheet2!$C$5:$C$21</c:f>
              <c:numCache>
                <c:formatCode>General</c:formatCode>
                <c:ptCount val="17"/>
                <c:pt idx="0">
                  <c:v>19997.681567370644</c:v>
                </c:pt>
                <c:pt idx="1">
                  <c:v>7155.8969601010858</c:v>
                </c:pt>
                <c:pt idx="2">
                  <c:v>2525.2098502490971</c:v>
                </c:pt>
                <c:pt idx="3">
                  <c:v>872.85947120699689</c:v>
                </c:pt>
                <c:pt idx="4">
                  <c:v>292.56774195981978</c:v>
                </c:pt>
                <c:pt idx="5">
                  <c:v>93.639193531914572</c:v>
                </c:pt>
                <c:pt idx="6">
                  <c:v>27.922682588665623</c:v>
                </c:pt>
                <c:pt idx="7">
                  <c:v>7.4366352391368897</c:v>
                </c:pt>
                <c:pt idx="8">
                  <c:v>1.6325647493469115</c:v>
                </c:pt>
                <c:pt idx="9">
                  <c:v>0.2489131818949584</c:v>
                </c:pt>
                <c:pt idx="10">
                  <c:v>1.7535850026161929E-2</c:v>
                </c:pt>
                <c:pt idx="11">
                  <c:v>2.0774456349982338E-4</c:v>
                </c:pt>
                <c:pt idx="12">
                  <c:v>4.2966164131341645E-8</c:v>
                </c:pt>
                <c:pt idx="13">
                  <c:v>1.9364036845487359E-15</c:v>
                </c:pt>
                <c:pt idx="14">
                  <c:v>3.9936083326813723E-30</c:v>
                </c:pt>
                <c:pt idx="15">
                  <c:v>4.9303806576313238E-32</c:v>
                </c:pt>
                <c:pt idx="16">
                  <c:v>4.9303806576313238E-32</c:v>
                </c:pt>
              </c:numCache>
            </c:numRef>
          </c:val>
          <c:smooth val="0"/>
          <c:extLst xmlns:c16r2="http://schemas.microsoft.com/office/drawing/2015/06/chart">
            <c:ext xmlns:c16="http://schemas.microsoft.com/office/drawing/2014/chart" uri="{C3380CC4-5D6E-409C-BE32-E72D297353CC}">
              <c16:uniqueId val="{00000000-014B-4B8B-ACFF-316664AFA186}"/>
            </c:ext>
          </c:extLst>
        </c:ser>
        <c:dLbls>
          <c:showLegendKey val="0"/>
          <c:showVal val="0"/>
          <c:showCatName val="0"/>
          <c:showSerName val="0"/>
          <c:showPercent val="0"/>
          <c:showBubbleSize val="0"/>
        </c:dLbls>
        <c:marker val="1"/>
        <c:smooth val="0"/>
        <c:axId val="-1394363824"/>
        <c:axId val="-1394356208"/>
      </c:lineChart>
      <c:catAx>
        <c:axId val="-139436382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X</a:t>
                </a:r>
              </a:p>
            </c:rich>
          </c:tx>
          <c:layout>
            <c:manualLayout>
              <c:xMode val="edge"/>
              <c:yMode val="edge"/>
              <c:x val="0.56122504905238468"/>
              <c:y val="0.871187882660028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2700000" vert="horz"/>
          <a:lstStyle/>
          <a:p>
            <a:pPr>
              <a:defRPr sz="1000" b="0" i="0" u="none" strike="noStrike" baseline="0">
                <a:solidFill>
                  <a:srgbClr val="000000"/>
                </a:solidFill>
                <a:latin typeface="Arial"/>
                <a:ea typeface="Arial"/>
                <a:cs typeface="Arial"/>
              </a:defRPr>
            </a:pPr>
            <a:endParaRPr lang="en-US"/>
          </a:p>
        </c:txPr>
        <c:crossAx val="-1394356208"/>
        <c:crosses val="autoZero"/>
        <c:auto val="1"/>
        <c:lblAlgn val="ctr"/>
        <c:lblOffset val="100"/>
        <c:tickLblSkip val="2"/>
        <c:tickMarkSkip val="1"/>
        <c:noMultiLvlLbl val="0"/>
      </c:catAx>
      <c:valAx>
        <c:axId val="-139435620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f(x)</a:t>
                </a:r>
              </a:p>
            </c:rich>
          </c:tx>
          <c:layout>
            <c:manualLayout>
              <c:xMode val="edge"/>
              <c:yMode val="edge"/>
              <c:x val="3.2653093763047834E-2"/>
              <c:y val="0.3728819731229692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394363824"/>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Cyr"/>
                <a:ea typeface="Arial Cyr"/>
                <a:cs typeface="Arial Cyr"/>
              </a:defRPr>
            </a:pPr>
            <a:r>
              <a:rPr lang="ru-RU"/>
              <a:t>Рисунок 7.3 Зависимость Скорости сходимости Метода Ньютона от Начальной цены</a:t>
            </a:r>
          </a:p>
        </c:rich>
      </c:tx>
      <c:layout>
        <c:manualLayout>
          <c:xMode val="edge"/>
          <c:yMode val="edge"/>
          <c:x val="0.12123376526472927"/>
          <c:y val="3.337563442778059E-2"/>
        </c:manualLayout>
      </c:layout>
      <c:overlay val="0"/>
      <c:spPr>
        <a:noFill/>
        <a:ln w="25400">
          <a:noFill/>
        </a:ln>
      </c:spPr>
    </c:title>
    <c:autoTitleDeleted val="0"/>
    <c:plotArea>
      <c:layout>
        <c:manualLayout>
          <c:layoutTarget val="inner"/>
          <c:xMode val="edge"/>
          <c:yMode val="edge"/>
          <c:x val="0.11165066186707036"/>
          <c:y val="0.21728971962616822"/>
          <c:w val="0.86569716085337156"/>
          <c:h val="0.57943925233644855"/>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sheet3!$B$39:$B$138</c:f>
              <c:numCache>
                <c:formatCode>0.00</c:formatCode>
                <c:ptCount val="100"/>
                <c:pt idx="0">
                  <c:v>1.0000000000031264</c:v>
                </c:pt>
                <c:pt idx="1">
                  <c:v>41.835333605343706</c:v>
                </c:pt>
                <c:pt idx="2">
                  <c:v>82.670667210684286</c:v>
                </c:pt>
                <c:pt idx="3">
                  <c:v>123.50600081602487</c:v>
                </c:pt>
                <c:pt idx="4">
                  <c:v>164.34133442136545</c:v>
                </c:pt>
                <c:pt idx="5">
                  <c:v>205.17666802670601</c:v>
                </c:pt>
                <c:pt idx="6">
                  <c:v>246.012001632047</c:v>
                </c:pt>
                <c:pt idx="7">
                  <c:v>286.84733523738714</c:v>
                </c:pt>
                <c:pt idx="8">
                  <c:v>327.68266884272771</c:v>
                </c:pt>
                <c:pt idx="9">
                  <c:v>368.51800244806827</c:v>
                </c:pt>
                <c:pt idx="10">
                  <c:v>409.35333605340884</c:v>
                </c:pt>
                <c:pt idx="11">
                  <c:v>450.18866965874901</c:v>
                </c:pt>
                <c:pt idx="12">
                  <c:v>491.02400326408997</c:v>
                </c:pt>
                <c:pt idx="13">
                  <c:v>531.85933686943054</c:v>
                </c:pt>
                <c:pt idx="14">
                  <c:v>572.6946704747711</c:v>
                </c:pt>
                <c:pt idx="15">
                  <c:v>613.53000408011167</c:v>
                </c:pt>
                <c:pt idx="16">
                  <c:v>654.36533768545223</c:v>
                </c:pt>
                <c:pt idx="17">
                  <c:v>695.2006712907928</c:v>
                </c:pt>
                <c:pt idx="18">
                  <c:v>736.03600489613336</c:v>
                </c:pt>
                <c:pt idx="19">
                  <c:v>776.87133850147393</c:v>
                </c:pt>
                <c:pt idx="20">
                  <c:v>817.70667210681449</c:v>
                </c:pt>
                <c:pt idx="21">
                  <c:v>858.54200571215506</c:v>
                </c:pt>
                <c:pt idx="22">
                  <c:v>899.37733931749563</c:v>
                </c:pt>
                <c:pt idx="23">
                  <c:v>940.21267292283619</c:v>
                </c:pt>
                <c:pt idx="24">
                  <c:v>981.04800652817676</c:v>
                </c:pt>
                <c:pt idx="25">
                  <c:v>1021.8833401335173</c:v>
                </c:pt>
                <c:pt idx="26">
                  <c:v>1062.7186737388579</c:v>
                </c:pt>
                <c:pt idx="27">
                  <c:v>1103.5540073441985</c:v>
                </c:pt>
                <c:pt idx="28">
                  <c:v>1144.389340949539</c:v>
                </c:pt>
                <c:pt idx="29">
                  <c:v>1185.2246745548796</c:v>
                </c:pt>
                <c:pt idx="30">
                  <c:v>1226.0600081602201</c:v>
                </c:pt>
                <c:pt idx="31">
                  <c:v>1266.8953417655607</c:v>
                </c:pt>
                <c:pt idx="32">
                  <c:v>1307.7306753709013</c:v>
                </c:pt>
                <c:pt idx="33">
                  <c:v>1348.5660089762418</c:v>
                </c:pt>
                <c:pt idx="34">
                  <c:v>1389.4013425815824</c:v>
                </c:pt>
                <c:pt idx="35">
                  <c:v>1430.236676186923</c:v>
                </c:pt>
                <c:pt idx="36">
                  <c:v>1471.0720097922635</c:v>
                </c:pt>
                <c:pt idx="37">
                  <c:v>1511.9073433976041</c:v>
                </c:pt>
                <c:pt idx="38">
                  <c:v>1552.7426770029447</c:v>
                </c:pt>
                <c:pt idx="39">
                  <c:v>1593.5780106082852</c:v>
                </c:pt>
                <c:pt idx="40">
                  <c:v>1634.4133442136258</c:v>
                </c:pt>
                <c:pt idx="41">
                  <c:v>1675.2486778189664</c:v>
                </c:pt>
                <c:pt idx="42">
                  <c:v>1716.0840114243069</c:v>
                </c:pt>
                <c:pt idx="43">
                  <c:v>1756.9193450296475</c:v>
                </c:pt>
                <c:pt idx="44">
                  <c:v>1797.7546786349881</c:v>
                </c:pt>
                <c:pt idx="45">
                  <c:v>1838.5900122403286</c:v>
                </c:pt>
                <c:pt idx="46">
                  <c:v>1879.4253458456692</c:v>
                </c:pt>
                <c:pt idx="47">
                  <c:v>1920.2606794510098</c:v>
                </c:pt>
                <c:pt idx="48">
                  <c:v>1961.0960130563503</c:v>
                </c:pt>
                <c:pt idx="49">
                  <c:v>2001.9313466616909</c:v>
                </c:pt>
                <c:pt idx="50">
                  <c:v>2042.7666802670315</c:v>
                </c:pt>
                <c:pt idx="51">
                  <c:v>2083.602013872372</c:v>
                </c:pt>
                <c:pt idx="52">
                  <c:v>2124.4373474777126</c:v>
                </c:pt>
                <c:pt idx="53">
                  <c:v>2165.2726810830532</c:v>
                </c:pt>
                <c:pt idx="54">
                  <c:v>2206.1080146883937</c:v>
                </c:pt>
                <c:pt idx="55">
                  <c:v>2246.9433482937302</c:v>
                </c:pt>
                <c:pt idx="56">
                  <c:v>2287.7786818990699</c:v>
                </c:pt>
                <c:pt idx="57">
                  <c:v>2328.6140155044154</c:v>
                </c:pt>
                <c:pt idx="58">
                  <c:v>2491.8504675461836</c:v>
                </c:pt>
                <c:pt idx="59">
                  <c:v>2534.7961652624972</c:v>
                </c:pt>
                <c:pt idx="60">
                  <c:v>2577.7418629788108</c:v>
                </c:pt>
                <c:pt idx="61">
                  <c:v>2620.6875606951244</c:v>
                </c:pt>
                <c:pt idx="62">
                  <c:v>2663.633258411438</c:v>
                </c:pt>
                <c:pt idx="63">
                  <c:v>2706.5789561277516</c:v>
                </c:pt>
                <c:pt idx="64">
                  <c:v>2749.5246538440651</c:v>
                </c:pt>
                <c:pt idx="65">
                  <c:v>2792.4703515603787</c:v>
                </c:pt>
                <c:pt idx="66">
                  <c:v>2835.4160492766923</c:v>
                </c:pt>
                <c:pt idx="67">
                  <c:v>2878.3617469930059</c:v>
                </c:pt>
                <c:pt idx="68">
                  <c:v>2921.3074447093195</c:v>
                </c:pt>
                <c:pt idx="69">
                  <c:v>2964.2531424256331</c:v>
                </c:pt>
                <c:pt idx="70">
                  <c:v>3007.1988401419467</c:v>
                </c:pt>
                <c:pt idx="71">
                  <c:v>3050.1445378582603</c:v>
                </c:pt>
                <c:pt idx="72">
                  <c:v>3093.0902355745739</c:v>
                </c:pt>
                <c:pt idx="73">
                  <c:v>3136.0359332908874</c:v>
                </c:pt>
                <c:pt idx="74">
                  <c:v>3178.981631007201</c:v>
                </c:pt>
                <c:pt idx="75">
                  <c:v>3221.9273287235146</c:v>
                </c:pt>
                <c:pt idx="76">
                  <c:v>3264.8730264398282</c:v>
                </c:pt>
                <c:pt idx="77">
                  <c:v>3307.8187241561418</c:v>
                </c:pt>
                <c:pt idx="78">
                  <c:v>3350.7644218724554</c:v>
                </c:pt>
                <c:pt idx="79">
                  <c:v>3393.710119588769</c:v>
                </c:pt>
                <c:pt idx="80">
                  <c:v>3436.6558173050826</c:v>
                </c:pt>
                <c:pt idx="81">
                  <c:v>3479.6015150213962</c:v>
                </c:pt>
                <c:pt idx="82">
                  <c:v>3522.5472127377097</c:v>
                </c:pt>
                <c:pt idx="83">
                  <c:v>3565.4929104540233</c:v>
                </c:pt>
                <c:pt idx="84">
                  <c:v>3608.4386081703369</c:v>
                </c:pt>
                <c:pt idx="85">
                  <c:v>3651.3843058866505</c:v>
                </c:pt>
                <c:pt idx="86">
                  <c:v>3694.3300036029641</c:v>
                </c:pt>
                <c:pt idx="87">
                  <c:v>3737.2757013192777</c:v>
                </c:pt>
                <c:pt idx="88">
                  <c:v>3780.2213990355913</c:v>
                </c:pt>
                <c:pt idx="89">
                  <c:v>3823.1670967519049</c:v>
                </c:pt>
                <c:pt idx="90">
                  <c:v>3866.1127944682185</c:v>
                </c:pt>
                <c:pt idx="91">
                  <c:v>3909.058492184532</c:v>
                </c:pt>
                <c:pt idx="92">
                  <c:v>3952.0041899008456</c:v>
                </c:pt>
                <c:pt idx="93">
                  <c:v>3994.9498876171592</c:v>
                </c:pt>
                <c:pt idx="94">
                  <c:v>4037.8955853334728</c:v>
                </c:pt>
                <c:pt idx="95">
                  <c:v>4080.8412830497864</c:v>
                </c:pt>
                <c:pt idx="96">
                  <c:v>4123.7869807661</c:v>
                </c:pt>
                <c:pt idx="97">
                  <c:v>4166.7326784824136</c:v>
                </c:pt>
                <c:pt idx="98">
                  <c:v>4209.6783761987272</c:v>
                </c:pt>
                <c:pt idx="99">
                  <c:v>4252.6240739150408</c:v>
                </c:pt>
              </c:numCache>
            </c:numRef>
          </c:cat>
          <c:val>
            <c:numRef>
              <c:f>sheet3!$D$39:$D$138</c:f>
              <c:numCache>
                <c:formatCode>General</c:formatCode>
                <c:ptCount val="100"/>
                <c:pt idx="0">
                  <c:v>1.1499999999999999</c:v>
                </c:pt>
                <c:pt idx="1">
                  <c:v>1.2</c:v>
                </c:pt>
                <c:pt idx="2">
                  <c:v>1.3</c:v>
                </c:pt>
                <c:pt idx="3">
                  <c:v>1.5</c:v>
                </c:pt>
                <c:pt idx="4">
                  <c:v>1.75</c:v>
                </c:pt>
                <c:pt idx="5">
                  <c:v>1.95</c:v>
                </c:pt>
                <c:pt idx="6">
                  <c:v>2</c:v>
                </c:pt>
                <c:pt idx="7">
                  <c:v>2</c:v>
                </c:pt>
                <c:pt idx="8">
                  <c:v>2</c:v>
                </c:pt>
                <c:pt idx="9">
                  <c:v>2</c:v>
                </c:pt>
                <c:pt idx="10">
                  <c:v>1.95</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1.4</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numCache>
            </c:numRef>
          </c:val>
          <c:smooth val="0"/>
          <c:extLst xmlns:c16r2="http://schemas.microsoft.com/office/drawing/2015/06/chart">
            <c:ext xmlns:c16="http://schemas.microsoft.com/office/drawing/2014/chart" uri="{C3380CC4-5D6E-409C-BE32-E72D297353CC}">
              <c16:uniqueId val="{00000000-26A2-4B97-9ACF-44B264A08314}"/>
            </c:ext>
          </c:extLst>
        </c:ser>
        <c:dLbls>
          <c:showLegendKey val="0"/>
          <c:showVal val="0"/>
          <c:showCatName val="0"/>
          <c:showSerName val="0"/>
          <c:showPercent val="0"/>
          <c:showBubbleSize val="0"/>
        </c:dLbls>
        <c:marker val="1"/>
        <c:smooth val="0"/>
        <c:axId val="-1394355664"/>
        <c:axId val="-1658616544"/>
      </c:lineChart>
      <c:catAx>
        <c:axId val="-1394355664"/>
        <c:scaling>
          <c:orientation val="minMax"/>
        </c:scaling>
        <c:delete val="0"/>
        <c:axPos val="b"/>
        <c:title>
          <c:tx>
            <c:rich>
              <a:bodyPr/>
              <a:lstStyle/>
              <a:p>
                <a:pPr>
                  <a:defRPr sz="1000" b="1" i="0" u="none" strike="noStrike" baseline="0">
                    <a:solidFill>
                      <a:srgbClr val="000000"/>
                    </a:solidFill>
                    <a:latin typeface="Arial Cyr"/>
                    <a:ea typeface="Arial Cyr"/>
                    <a:cs typeface="Arial Cyr"/>
                  </a:defRPr>
                </a:pPr>
                <a:r>
                  <a:rPr lang="ru-RU"/>
                  <a:t>Начальная цена</a:t>
                </a:r>
              </a:p>
            </c:rich>
          </c:tx>
          <c:layout>
            <c:manualLayout>
              <c:xMode val="edge"/>
              <c:yMode val="edge"/>
              <c:x val="0.45307514960550288"/>
              <c:y val="0.91121495327102808"/>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Cyr"/>
                <a:ea typeface="Arial Cyr"/>
                <a:cs typeface="Arial Cyr"/>
              </a:defRPr>
            </a:pPr>
            <a:endParaRPr lang="en-US"/>
          </a:p>
        </c:txPr>
        <c:crossAx val="-1658616544"/>
        <c:crosses val="autoZero"/>
        <c:auto val="1"/>
        <c:lblAlgn val="ctr"/>
        <c:lblOffset val="100"/>
        <c:tickLblSkip val="3"/>
        <c:tickMarkSkip val="1"/>
        <c:noMultiLvlLbl val="0"/>
      </c:catAx>
      <c:valAx>
        <c:axId val="-1658616544"/>
        <c:scaling>
          <c:orientation val="minMax"/>
          <c:max val="2.2000000000000002"/>
          <c:min val="1"/>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Cyr"/>
                    <a:ea typeface="Arial Cyr"/>
                    <a:cs typeface="Arial Cyr"/>
                  </a:defRPr>
                </a:pPr>
                <a:r>
                  <a:rPr lang="ru-RU"/>
                  <a:t>Скорость сходимости Метода Ньютона</a:t>
                </a:r>
              </a:p>
            </c:rich>
          </c:tx>
          <c:layout>
            <c:manualLayout>
              <c:xMode val="edge"/>
              <c:yMode val="edge"/>
              <c:x val="2.589000854888588E-2"/>
              <c:y val="0.2032710280373831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Cyr"/>
                <a:ea typeface="Arial Cyr"/>
                <a:cs typeface="Arial Cyr"/>
              </a:defRPr>
            </a:pPr>
            <a:endParaRPr lang="en-US"/>
          </a:p>
        </c:txPr>
        <c:crossAx val="-1394355664"/>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Cyr"/>
          <a:ea typeface="Arial Cyr"/>
          <a:cs typeface="Arial Cyr"/>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Рис.</a:t>
            </a:r>
            <a:r>
              <a:rPr lang="ru-RU" baseline="0"/>
              <a:t> 7.3. Зависимость Скорости сходимости Метода Ньютона от Начальной цены</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sheet3!$B$39:$B$96</c:f>
              <c:numCache>
                <c:formatCode>0.00</c:formatCode>
                <c:ptCount val="58"/>
                <c:pt idx="0">
                  <c:v>1.0000000000031264</c:v>
                </c:pt>
                <c:pt idx="1">
                  <c:v>41.835333605343706</c:v>
                </c:pt>
                <c:pt idx="2">
                  <c:v>82.670667210684286</c:v>
                </c:pt>
                <c:pt idx="3">
                  <c:v>123.50600081602487</c:v>
                </c:pt>
                <c:pt idx="4">
                  <c:v>164.34133442136545</c:v>
                </c:pt>
                <c:pt idx="5">
                  <c:v>205.17666802670601</c:v>
                </c:pt>
                <c:pt idx="6">
                  <c:v>246.012001632047</c:v>
                </c:pt>
                <c:pt idx="7">
                  <c:v>286.84733523738714</c:v>
                </c:pt>
                <c:pt idx="8">
                  <c:v>327.68266884272771</c:v>
                </c:pt>
                <c:pt idx="9">
                  <c:v>368.51800244806827</c:v>
                </c:pt>
                <c:pt idx="10">
                  <c:v>409.35333605340884</c:v>
                </c:pt>
                <c:pt idx="11">
                  <c:v>450.18866965874901</c:v>
                </c:pt>
                <c:pt idx="12">
                  <c:v>491.02400326408997</c:v>
                </c:pt>
                <c:pt idx="13">
                  <c:v>531.85933686943054</c:v>
                </c:pt>
                <c:pt idx="14">
                  <c:v>572.6946704747711</c:v>
                </c:pt>
                <c:pt idx="15">
                  <c:v>613.53000408011167</c:v>
                </c:pt>
                <c:pt idx="16">
                  <c:v>654.36533768545223</c:v>
                </c:pt>
                <c:pt idx="17">
                  <c:v>695.2006712907928</c:v>
                </c:pt>
                <c:pt idx="18">
                  <c:v>736.03600489613336</c:v>
                </c:pt>
                <c:pt idx="19">
                  <c:v>776.87133850147393</c:v>
                </c:pt>
                <c:pt idx="20">
                  <c:v>817.70667210681449</c:v>
                </c:pt>
                <c:pt idx="21">
                  <c:v>858.54200571215506</c:v>
                </c:pt>
                <c:pt idx="22">
                  <c:v>899.37733931749563</c:v>
                </c:pt>
                <c:pt idx="23">
                  <c:v>940.21267292283619</c:v>
                </c:pt>
                <c:pt idx="24">
                  <c:v>981.04800652817676</c:v>
                </c:pt>
                <c:pt idx="25">
                  <c:v>1021.8833401335173</c:v>
                </c:pt>
                <c:pt idx="26">
                  <c:v>1062.7186737388579</c:v>
                </c:pt>
                <c:pt idx="27">
                  <c:v>1103.5540073441985</c:v>
                </c:pt>
                <c:pt idx="28">
                  <c:v>1144.389340949539</c:v>
                </c:pt>
                <c:pt idx="29">
                  <c:v>1185.2246745548796</c:v>
                </c:pt>
                <c:pt idx="30">
                  <c:v>1226.0600081602201</c:v>
                </c:pt>
                <c:pt idx="31">
                  <c:v>1266.8953417655607</c:v>
                </c:pt>
                <c:pt idx="32">
                  <c:v>1307.7306753709013</c:v>
                </c:pt>
                <c:pt idx="33">
                  <c:v>1348.5660089762418</c:v>
                </c:pt>
                <c:pt idx="34">
                  <c:v>1389.4013425815824</c:v>
                </c:pt>
                <c:pt idx="35">
                  <c:v>1430.236676186923</c:v>
                </c:pt>
                <c:pt idx="36">
                  <c:v>1471.0720097922635</c:v>
                </c:pt>
                <c:pt idx="37">
                  <c:v>1511.9073433976041</c:v>
                </c:pt>
                <c:pt idx="38">
                  <c:v>1552.7426770029447</c:v>
                </c:pt>
                <c:pt idx="39">
                  <c:v>1593.5780106082852</c:v>
                </c:pt>
                <c:pt idx="40">
                  <c:v>1634.4133442136258</c:v>
                </c:pt>
                <c:pt idx="41">
                  <c:v>1675.2486778189664</c:v>
                </c:pt>
                <c:pt idx="42">
                  <c:v>1716.0840114243069</c:v>
                </c:pt>
                <c:pt idx="43">
                  <c:v>1756.9193450296475</c:v>
                </c:pt>
                <c:pt idx="44">
                  <c:v>1797.7546786349881</c:v>
                </c:pt>
                <c:pt idx="45">
                  <c:v>1838.5900122403286</c:v>
                </c:pt>
                <c:pt idx="46">
                  <c:v>1879.4253458456692</c:v>
                </c:pt>
                <c:pt idx="47">
                  <c:v>1920.2606794510098</c:v>
                </c:pt>
                <c:pt idx="48">
                  <c:v>1961.0960130563503</c:v>
                </c:pt>
                <c:pt idx="49">
                  <c:v>2001.9313466616909</c:v>
                </c:pt>
                <c:pt idx="50">
                  <c:v>2042.7666802670315</c:v>
                </c:pt>
                <c:pt idx="51">
                  <c:v>2083.602013872372</c:v>
                </c:pt>
                <c:pt idx="52">
                  <c:v>2124.4373474777126</c:v>
                </c:pt>
                <c:pt idx="53">
                  <c:v>2165.2726810830532</c:v>
                </c:pt>
                <c:pt idx="54">
                  <c:v>2206.1080146883937</c:v>
                </c:pt>
                <c:pt idx="55">
                  <c:v>2246.9433482937302</c:v>
                </c:pt>
                <c:pt idx="56">
                  <c:v>2287.7786818990699</c:v>
                </c:pt>
                <c:pt idx="57">
                  <c:v>2328.6140155044154</c:v>
                </c:pt>
              </c:numCache>
            </c:numRef>
          </c:cat>
          <c:val>
            <c:numRef>
              <c:f>sheet3!$D$39:$D$96</c:f>
              <c:numCache>
                <c:formatCode>General</c:formatCode>
                <c:ptCount val="58"/>
                <c:pt idx="0">
                  <c:v>1.1499999999999999</c:v>
                </c:pt>
                <c:pt idx="1">
                  <c:v>1.2</c:v>
                </c:pt>
                <c:pt idx="2">
                  <c:v>1.3</c:v>
                </c:pt>
                <c:pt idx="3">
                  <c:v>1.5</c:v>
                </c:pt>
                <c:pt idx="4">
                  <c:v>1.75</c:v>
                </c:pt>
                <c:pt idx="5">
                  <c:v>1.95</c:v>
                </c:pt>
                <c:pt idx="6">
                  <c:v>2</c:v>
                </c:pt>
                <c:pt idx="7">
                  <c:v>2</c:v>
                </c:pt>
                <c:pt idx="8">
                  <c:v>2</c:v>
                </c:pt>
                <c:pt idx="9">
                  <c:v>2</c:v>
                </c:pt>
                <c:pt idx="10">
                  <c:v>1.95</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1.4</c:v>
                </c:pt>
              </c:numCache>
            </c:numRef>
          </c:val>
          <c:smooth val="0"/>
          <c:extLst xmlns:c16r2="http://schemas.microsoft.com/office/drawing/2015/06/chart">
            <c:ext xmlns:c16="http://schemas.microsoft.com/office/drawing/2014/chart" uri="{C3380CC4-5D6E-409C-BE32-E72D297353CC}">
              <c16:uniqueId val="{00000000-5E01-4ADD-BF54-B48BAAD1E9FC}"/>
            </c:ext>
          </c:extLst>
        </c:ser>
        <c:dLbls>
          <c:showLegendKey val="0"/>
          <c:showVal val="0"/>
          <c:showCatName val="0"/>
          <c:showSerName val="0"/>
          <c:showPercent val="0"/>
          <c:showBubbleSize val="0"/>
        </c:dLbls>
        <c:marker val="1"/>
        <c:smooth val="0"/>
        <c:axId val="-1389125152"/>
        <c:axId val="-1389118624"/>
      </c:lineChart>
      <c:catAx>
        <c:axId val="-13891251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Начальная цена</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9118624"/>
        <c:crosses val="autoZero"/>
        <c:auto val="1"/>
        <c:lblAlgn val="ctr"/>
        <c:lblOffset val="100"/>
        <c:noMultiLvlLbl val="0"/>
      </c:catAx>
      <c:valAx>
        <c:axId val="-1389118624"/>
        <c:scaling>
          <c:orientation val="minMax"/>
          <c:max val="2.2000000000000002"/>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ru-RU" sz="800" b="0" i="0" u="none" strike="noStrike" baseline="0">
                    <a:effectLst/>
                  </a:rPr>
                  <a:t> Скорости сходимости Метода Ньютона</a:t>
                </a:r>
                <a:endParaRPr lang="en-US" sz="800"/>
              </a:p>
            </c:rich>
          </c:tx>
          <c:layout>
            <c:manualLayout>
              <c:xMode val="edge"/>
              <c:yMode val="edge"/>
              <c:x val="2.5027605909142565E-2"/>
              <c:y val="0.14012995597045741"/>
            </c:manualLayout>
          </c:layout>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9125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0" i="0" u="none" strike="noStrike" baseline="0">
                <a:effectLst/>
              </a:rPr>
              <a:t>Рисунка 7.1: Количества итераций от Логарифма Допустимой погрешности</a:t>
            </a:r>
            <a:endParaRPr lang="ru-RU" sz="1400" b="0" baseline="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sheet5!$J$12:$J$22</c:f>
              <c:numCache>
                <c:formatCode>0</c:formatCode>
                <c:ptCount val="11"/>
                <c:pt idx="0">
                  <c:v>2.3025850929940455</c:v>
                </c:pt>
                <c:pt idx="1">
                  <c:v>4.6051701859880909</c:v>
                </c:pt>
                <c:pt idx="2">
                  <c:v>6.9077552789821368</c:v>
                </c:pt>
                <c:pt idx="3">
                  <c:v>9.2103403719761818</c:v>
                </c:pt>
                <c:pt idx="4">
                  <c:v>11.512925464970229</c:v>
                </c:pt>
                <c:pt idx="5">
                  <c:v>13.815510557964274</c:v>
                </c:pt>
                <c:pt idx="6">
                  <c:v>16.11809565095832</c:v>
                </c:pt>
                <c:pt idx="7">
                  <c:v>18.420680743952364</c:v>
                </c:pt>
                <c:pt idx="8">
                  <c:v>20.72326583694641</c:v>
                </c:pt>
                <c:pt idx="9">
                  <c:v>23.025850929940457</c:v>
                </c:pt>
                <c:pt idx="10">
                  <c:v>25.328436022934504</c:v>
                </c:pt>
              </c:numCache>
            </c:numRef>
          </c:cat>
          <c:val>
            <c:numRef>
              <c:f>sheet5!$F$12:$F$22</c:f>
              <c:numCache>
                <c:formatCode>General</c:formatCode>
                <c:ptCount val="11"/>
                <c:pt idx="0">
                  <c:v>53</c:v>
                </c:pt>
                <c:pt idx="1">
                  <c:v>55</c:v>
                </c:pt>
                <c:pt idx="2">
                  <c:v>56</c:v>
                </c:pt>
                <c:pt idx="3">
                  <c:v>56</c:v>
                </c:pt>
                <c:pt idx="4">
                  <c:v>57</c:v>
                </c:pt>
                <c:pt idx="5">
                  <c:v>57</c:v>
                </c:pt>
                <c:pt idx="6">
                  <c:v>57</c:v>
                </c:pt>
                <c:pt idx="7">
                  <c:v>57</c:v>
                </c:pt>
                <c:pt idx="8">
                  <c:v>58</c:v>
                </c:pt>
                <c:pt idx="9">
                  <c:v>58</c:v>
                </c:pt>
                <c:pt idx="10">
                  <c:v>58</c:v>
                </c:pt>
              </c:numCache>
            </c:numRef>
          </c:val>
          <c:smooth val="0"/>
          <c:extLst xmlns:c16r2="http://schemas.microsoft.com/office/drawing/2015/06/chart">
            <c:ext xmlns:c16="http://schemas.microsoft.com/office/drawing/2014/chart" uri="{C3380CC4-5D6E-409C-BE32-E72D297353CC}">
              <c16:uniqueId val="{00000000-E05F-4978-9BD2-040A3583ECD6}"/>
            </c:ext>
          </c:extLst>
        </c:ser>
        <c:dLbls>
          <c:showLegendKey val="0"/>
          <c:showVal val="0"/>
          <c:showCatName val="0"/>
          <c:showSerName val="0"/>
          <c:showPercent val="0"/>
          <c:showBubbleSize val="0"/>
        </c:dLbls>
        <c:marker val="1"/>
        <c:smooth val="0"/>
        <c:axId val="-1389117536"/>
        <c:axId val="-1389116992"/>
      </c:lineChart>
      <c:catAx>
        <c:axId val="-138911753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100" b="0" i="0" baseline="0">
                    <a:effectLst/>
                  </a:rPr>
                  <a:t>Логарифм Допустимой погрешности</a:t>
                </a:r>
                <a:endParaRPr lang="en-US" sz="600">
                  <a:effectLst/>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9116992"/>
        <c:crosses val="autoZero"/>
        <c:auto val="1"/>
        <c:lblAlgn val="ctr"/>
        <c:lblOffset val="100"/>
        <c:noMultiLvlLbl val="0"/>
      </c:catAx>
      <c:valAx>
        <c:axId val="-1389116992"/>
        <c:scaling>
          <c:orientation val="minMax"/>
          <c:min val="5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Колличество итераций</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9117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0" i="0" u="none" strike="noStrike" baseline="0">
                <a:effectLst/>
              </a:rPr>
              <a:t>Таблица 7.2 Зависимость Количества итераций от Начальной цены</a:t>
            </a:r>
            <a:endParaRPr lang="en-US" sz="1400" b="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sheet5!$H$27:$H$83</c:f>
              <c:numCache>
                <c:formatCode>0.00</c:formatCode>
                <c:ptCount val="57"/>
                <c:pt idx="0">
                  <c:v>1.0000000000031264</c:v>
                </c:pt>
                <c:pt idx="1">
                  <c:v>41.835333605343706</c:v>
                </c:pt>
                <c:pt idx="2">
                  <c:v>82.670667210684286</c:v>
                </c:pt>
                <c:pt idx="3">
                  <c:v>123.50600081602487</c:v>
                </c:pt>
                <c:pt idx="4">
                  <c:v>164.34133442136545</c:v>
                </c:pt>
                <c:pt idx="5">
                  <c:v>205.17666802670601</c:v>
                </c:pt>
                <c:pt idx="6">
                  <c:v>246.01200163204658</c:v>
                </c:pt>
                <c:pt idx="7">
                  <c:v>286.84733523738714</c:v>
                </c:pt>
                <c:pt idx="8">
                  <c:v>327.68266884272771</c:v>
                </c:pt>
                <c:pt idx="9">
                  <c:v>368.51800244806827</c:v>
                </c:pt>
                <c:pt idx="10">
                  <c:v>409.35333605340884</c:v>
                </c:pt>
                <c:pt idx="11">
                  <c:v>450.1886696587494</c:v>
                </c:pt>
                <c:pt idx="12">
                  <c:v>491.02400326408997</c:v>
                </c:pt>
                <c:pt idx="13">
                  <c:v>531.85933686943054</c:v>
                </c:pt>
                <c:pt idx="14">
                  <c:v>572.6946704747711</c:v>
                </c:pt>
                <c:pt idx="15">
                  <c:v>613.53000408011167</c:v>
                </c:pt>
                <c:pt idx="16">
                  <c:v>654.36533768545223</c:v>
                </c:pt>
                <c:pt idx="17">
                  <c:v>695.2006712907928</c:v>
                </c:pt>
                <c:pt idx="18">
                  <c:v>736.03600489613336</c:v>
                </c:pt>
                <c:pt idx="19">
                  <c:v>776.87133850147393</c:v>
                </c:pt>
                <c:pt idx="20">
                  <c:v>817.70667210681449</c:v>
                </c:pt>
                <c:pt idx="21">
                  <c:v>858.54200571215506</c:v>
                </c:pt>
                <c:pt idx="22">
                  <c:v>899.37733931749563</c:v>
                </c:pt>
                <c:pt idx="23">
                  <c:v>940.21267292283619</c:v>
                </c:pt>
                <c:pt idx="24">
                  <c:v>981.04800652817676</c:v>
                </c:pt>
                <c:pt idx="25">
                  <c:v>1021.8833401335173</c:v>
                </c:pt>
                <c:pt idx="26">
                  <c:v>1062.7186737388579</c:v>
                </c:pt>
                <c:pt idx="27">
                  <c:v>1103.5540073441985</c:v>
                </c:pt>
                <c:pt idx="28">
                  <c:v>1144.389340949539</c:v>
                </c:pt>
                <c:pt idx="29">
                  <c:v>1185.2246745548796</c:v>
                </c:pt>
                <c:pt idx="30">
                  <c:v>1226.0600081602201</c:v>
                </c:pt>
                <c:pt idx="31">
                  <c:v>1266.8953417655607</c:v>
                </c:pt>
                <c:pt idx="32">
                  <c:v>1307.7306753709013</c:v>
                </c:pt>
                <c:pt idx="33">
                  <c:v>1348.5660089762418</c:v>
                </c:pt>
                <c:pt idx="34">
                  <c:v>1389.4013425815824</c:v>
                </c:pt>
                <c:pt idx="35">
                  <c:v>1430.236676186923</c:v>
                </c:pt>
                <c:pt idx="36">
                  <c:v>1471.0720097922635</c:v>
                </c:pt>
                <c:pt idx="37">
                  <c:v>1511.9073433976041</c:v>
                </c:pt>
                <c:pt idx="38">
                  <c:v>1552.7426770029447</c:v>
                </c:pt>
                <c:pt idx="39">
                  <c:v>1593.5780106082852</c:v>
                </c:pt>
                <c:pt idx="40">
                  <c:v>1634.4133442136258</c:v>
                </c:pt>
                <c:pt idx="41">
                  <c:v>1675.2486778189664</c:v>
                </c:pt>
                <c:pt idx="42">
                  <c:v>1716.0840114243069</c:v>
                </c:pt>
                <c:pt idx="43">
                  <c:v>1756.9193450296475</c:v>
                </c:pt>
                <c:pt idx="44">
                  <c:v>1797.7546786349881</c:v>
                </c:pt>
                <c:pt idx="45">
                  <c:v>1838.5900122403286</c:v>
                </c:pt>
                <c:pt idx="46">
                  <c:v>1879.4253458456692</c:v>
                </c:pt>
                <c:pt idx="47">
                  <c:v>1920.2606794510098</c:v>
                </c:pt>
                <c:pt idx="48">
                  <c:v>1961.0960130563503</c:v>
                </c:pt>
                <c:pt idx="49">
                  <c:v>2001.9313466616909</c:v>
                </c:pt>
                <c:pt idx="50">
                  <c:v>2042.7666802670315</c:v>
                </c:pt>
                <c:pt idx="51">
                  <c:v>2083.602013872372</c:v>
                </c:pt>
                <c:pt idx="52">
                  <c:v>2124.4373474777126</c:v>
                </c:pt>
                <c:pt idx="53">
                  <c:v>2165.2726810830532</c:v>
                </c:pt>
                <c:pt idx="54">
                  <c:v>2206.1080146883937</c:v>
                </c:pt>
                <c:pt idx="55">
                  <c:v>2246.9433482937343</c:v>
                </c:pt>
                <c:pt idx="56">
                  <c:v>2287.7786818990749</c:v>
                </c:pt>
              </c:numCache>
            </c:numRef>
          </c:cat>
          <c:val>
            <c:numRef>
              <c:f>sheet5!$F$27:$F$83</c:f>
              <c:numCache>
                <c:formatCode>General</c:formatCode>
                <c:ptCount val="57"/>
                <c:pt idx="0">
                  <c:v>58</c:v>
                </c:pt>
                <c:pt idx="1">
                  <c:v>33</c:v>
                </c:pt>
                <c:pt idx="2">
                  <c:v>28</c:v>
                </c:pt>
                <c:pt idx="3">
                  <c:v>25</c:v>
                </c:pt>
                <c:pt idx="4">
                  <c:v>23</c:v>
                </c:pt>
                <c:pt idx="5">
                  <c:v>22</c:v>
                </c:pt>
                <c:pt idx="6">
                  <c:v>21</c:v>
                </c:pt>
                <c:pt idx="7">
                  <c:v>20</c:v>
                </c:pt>
                <c:pt idx="8">
                  <c:v>19</c:v>
                </c:pt>
                <c:pt idx="9">
                  <c:v>18</c:v>
                </c:pt>
                <c:pt idx="10">
                  <c:v>17</c:v>
                </c:pt>
                <c:pt idx="11">
                  <c:v>17</c:v>
                </c:pt>
                <c:pt idx="12">
                  <c:v>16</c:v>
                </c:pt>
                <c:pt idx="13">
                  <c:v>15</c:v>
                </c:pt>
                <c:pt idx="14">
                  <c:v>15</c:v>
                </c:pt>
                <c:pt idx="15">
                  <c:v>14</c:v>
                </c:pt>
                <c:pt idx="16">
                  <c:v>14</c:v>
                </c:pt>
                <c:pt idx="17">
                  <c:v>13</c:v>
                </c:pt>
                <c:pt idx="18">
                  <c:v>13</c:v>
                </c:pt>
                <c:pt idx="19">
                  <c:v>13</c:v>
                </c:pt>
                <c:pt idx="20">
                  <c:v>12</c:v>
                </c:pt>
                <c:pt idx="21">
                  <c:v>12</c:v>
                </c:pt>
                <c:pt idx="22">
                  <c:v>12</c:v>
                </c:pt>
                <c:pt idx="23">
                  <c:v>11</c:v>
                </c:pt>
                <c:pt idx="24">
                  <c:v>11</c:v>
                </c:pt>
                <c:pt idx="25">
                  <c:v>11</c:v>
                </c:pt>
                <c:pt idx="26">
                  <c:v>10</c:v>
                </c:pt>
                <c:pt idx="27">
                  <c:v>10</c:v>
                </c:pt>
                <c:pt idx="28">
                  <c:v>10</c:v>
                </c:pt>
                <c:pt idx="29">
                  <c:v>9</c:v>
                </c:pt>
                <c:pt idx="30">
                  <c:v>9</c:v>
                </c:pt>
                <c:pt idx="31">
                  <c:v>9</c:v>
                </c:pt>
                <c:pt idx="32">
                  <c:v>9</c:v>
                </c:pt>
                <c:pt idx="33">
                  <c:v>8</c:v>
                </c:pt>
                <c:pt idx="34">
                  <c:v>8</c:v>
                </c:pt>
                <c:pt idx="35">
                  <c:v>8</c:v>
                </c:pt>
                <c:pt idx="36">
                  <c:v>8</c:v>
                </c:pt>
                <c:pt idx="37">
                  <c:v>7</c:v>
                </c:pt>
                <c:pt idx="38">
                  <c:v>7</c:v>
                </c:pt>
                <c:pt idx="39">
                  <c:v>7</c:v>
                </c:pt>
                <c:pt idx="40">
                  <c:v>7</c:v>
                </c:pt>
                <c:pt idx="41">
                  <c:v>6</c:v>
                </c:pt>
                <c:pt idx="42">
                  <c:v>6</c:v>
                </c:pt>
                <c:pt idx="43">
                  <c:v>6</c:v>
                </c:pt>
                <c:pt idx="44">
                  <c:v>6</c:v>
                </c:pt>
                <c:pt idx="45">
                  <c:v>5</c:v>
                </c:pt>
                <c:pt idx="46">
                  <c:v>5</c:v>
                </c:pt>
                <c:pt idx="47">
                  <c:v>5</c:v>
                </c:pt>
                <c:pt idx="48">
                  <c:v>4</c:v>
                </c:pt>
                <c:pt idx="49">
                  <c:v>0</c:v>
                </c:pt>
                <c:pt idx="50">
                  <c:v>4</c:v>
                </c:pt>
                <c:pt idx="51">
                  <c:v>5</c:v>
                </c:pt>
                <c:pt idx="52">
                  <c:v>5</c:v>
                </c:pt>
                <c:pt idx="53">
                  <c:v>6</c:v>
                </c:pt>
                <c:pt idx="54">
                  <c:v>7</c:v>
                </c:pt>
                <c:pt idx="55">
                  <c:v>9</c:v>
                </c:pt>
                <c:pt idx="56">
                  <c:v>12</c:v>
                </c:pt>
              </c:numCache>
            </c:numRef>
          </c:val>
          <c:smooth val="0"/>
          <c:extLst xmlns:c16r2="http://schemas.microsoft.com/office/drawing/2015/06/chart">
            <c:ext xmlns:c16="http://schemas.microsoft.com/office/drawing/2014/chart" uri="{C3380CC4-5D6E-409C-BE32-E72D297353CC}">
              <c16:uniqueId val="{00000000-92B9-4E9D-89E4-E58FB71E8C81}"/>
            </c:ext>
          </c:extLst>
        </c:ser>
        <c:dLbls>
          <c:showLegendKey val="0"/>
          <c:showVal val="0"/>
          <c:showCatName val="0"/>
          <c:showSerName val="0"/>
          <c:showPercent val="0"/>
          <c:showBubbleSize val="0"/>
        </c:dLbls>
        <c:marker val="1"/>
        <c:smooth val="0"/>
        <c:axId val="-1389119712"/>
        <c:axId val="-1389121888"/>
      </c:lineChart>
      <c:catAx>
        <c:axId val="-13891197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Начальная цена</a:t>
                </a:r>
                <a:endParaRPr lang="en-US"/>
              </a:p>
            </c:rich>
          </c:tx>
          <c:layout>
            <c:manualLayout>
              <c:xMode val="edge"/>
              <c:yMode val="edge"/>
              <c:x val="0.42310319579151323"/>
              <c:y val="0.8782365247822283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9121888"/>
        <c:crosses val="autoZero"/>
        <c:auto val="1"/>
        <c:lblAlgn val="ctr"/>
        <c:lblOffset val="100"/>
        <c:noMultiLvlLbl val="0"/>
      </c:catAx>
      <c:valAx>
        <c:axId val="-1389121888"/>
        <c:scaling>
          <c:orientation val="minMax"/>
          <c:max val="65"/>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200" b="0" i="0" baseline="0">
                    <a:effectLst/>
                  </a:rPr>
                  <a:t>Колличество итераций</a:t>
                </a:r>
                <a:endParaRPr lang="en-US" sz="700">
                  <a:effectLst/>
                </a:endParaRPr>
              </a:p>
            </c:rich>
          </c:tx>
          <c:layout>
            <c:manualLayout>
              <c:xMode val="edge"/>
              <c:yMode val="edge"/>
              <c:x val="2.8612303290414878E-2"/>
              <c:y val="0.2424154589371980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9119712"/>
        <c:crosses val="autoZero"/>
        <c:crossBetween val="between"/>
        <c:majorUnit val="1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16" fmlaLink="$L$4" fmlaRange="$H$7:$H$27"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Lines="11" dropStyle="combo" dx="16" fmlaLink="$N$5" fmlaRange="$G$10:$G$20" sel="2" val="0"/>
</file>

<file path=xl/ctrlProps/ctrlProp5.xml><?xml version="1.0" encoding="utf-8"?>
<formControlPr xmlns="http://schemas.microsoft.com/office/spreadsheetml/2009/9/main" objectType="List" dx="16" fmlaLink="H5" fmlaRange="G4:G5" noThreeD="1" sel="0" val="0"/>
</file>

<file path=xl/ctrlProps/ctrlProp6.xml><?xml version="1.0" encoding="utf-8"?>
<formControlPr xmlns="http://schemas.microsoft.com/office/spreadsheetml/2009/9/main" objectType="Drop" dropLines="20" dropStyle="combo" dx="16" fmlaLink="$O$5" fmlaRange="sheet5!$H$27:$H$126" sel="1"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image" Target="../media/image1.png"/><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504825</xdr:colOff>
      <xdr:row>8</xdr:row>
      <xdr:rowOff>76200</xdr:rowOff>
    </xdr:from>
    <xdr:to>
      <xdr:col>9</xdr:col>
      <xdr:colOff>219075</xdr:colOff>
      <xdr:row>25</xdr:row>
      <xdr:rowOff>123825</xdr:rowOff>
    </xdr:to>
    <xdr:graphicFrame macro="">
      <xdr:nvGraphicFramePr>
        <xdr:cNvPr id="5121" name="Chart 1">
          <a:extLst>
            <a:ext uri="{FF2B5EF4-FFF2-40B4-BE49-F238E27FC236}">
              <a16:creationId xmlns:a16="http://schemas.microsoft.com/office/drawing/2014/main" xmlns="" id="{00000000-0008-0000-0100-000001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61913</xdr:colOff>
          <xdr:row>8</xdr:row>
          <xdr:rowOff>0</xdr:rowOff>
        </xdr:from>
        <xdr:to>
          <xdr:col>5</xdr:col>
          <xdr:colOff>319088</xdr:colOff>
          <xdr:row>26</xdr:row>
          <xdr:rowOff>114300</xdr:rowOff>
        </xdr:to>
        <xdr:sp macro="" textlink="">
          <xdr:nvSpPr>
            <xdr:cNvPr id="2073" name="List Box 25" hidden="1">
              <a:extLst>
                <a:ext uri="{63B3BB69-23CF-44E3-9099-C40C66FF867C}">
                  <a14:compatExt spid="_x0000_s2073"/>
                </a:ext>
                <a:ext uri="{FF2B5EF4-FFF2-40B4-BE49-F238E27FC236}">
                  <a16:creationId xmlns:a16="http://schemas.microsoft.com/office/drawing/2014/main" xmlns="" id="{00000000-0008-0000-02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144556</xdr:colOff>
      <xdr:row>37</xdr:row>
      <xdr:rowOff>114861</xdr:rowOff>
    </xdr:from>
    <xdr:to>
      <xdr:col>13</xdr:col>
      <xdr:colOff>337859</xdr:colOff>
      <xdr:row>59</xdr:row>
      <xdr:rowOff>132231</xdr:rowOff>
    </xdr:to>
    <xdr:graphicFrame macro="">
      <xdr:nvGraphicFramePr>
        <xdr:cNvPr id="2079" name="Chart 31">
          <a:extLst>
            <a:ext uri="{FF2B5EF4-FFF2-40B4-BE49-F238E27FC236}">
              <a16:creationId xmlns:a16="http://schemas.microsoft.com/office/drawing/2014/main" xmlns="" id="{00000000-0008-0000-0200-00001F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6165</xdr:colOff>
      <xdr:row>37</xdr:row>
      <xdr:rowOff>41461</xdr:rowOff>
    </xdr:from>
    <xdr:to>
      <xdr:col>23</xdr:col>
      <xdr:colOff>470089</xdr:colOff>
      <xdr:row>60</xdr:row>
      <xdr:rowOff>136713</xdr:rowOff>
    </xdr:to>
    <xdr:pic>
      <xdr:nvPicPr>
        <xdr:cNvPr id="2081" name="Picture 33">
          <a:extLst>
            <a:ext uri="{FF2B5EF4-FFF2-40B4-BE49-F238E27FC236}">
              <a16:creationId xmlns:a16="http://schemas.microsoft.com/office/drawing/2014/main" xmlns="" id="{00000000-0008-0000-0200-0000210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26783" y="7179608"/>
          <a:ext cx="6162115" cy="43086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20</xdr:col>
          <xdr:colOff>214313</xdr:colOff>
          <xdr:row>7</xdr:row>
          <xdr:rowOff>0</xdr:rowOff>
        </xdr:from>
        <xdr:to>
          <xdr:col>21</xdr:col>
          <xdr:colOff>228600</xdr:colOff>
          <xdr:row>8</xdr:row>
          <xdr:rowOff>52388</xdr:rowOff>
        </xdr:to>
        <xdr:sp macro="" textlink="">
          <xdr:nvSpPr>
            <xdr:cNvPr id="2078" name="Button 30" hidden="1">
              <a:extLst>
                <a:ext uri="{63B3BB69-23CF-44E3-9099-C40C66FF867C}">
                  <a14:compatExt spid="_x0000_s2078"/>
                </a:ext>
                <a:ext uri="{FF2B5EF4-FFF2-40B4-BE49-F238E27FC236}">
                  <a16:creationId xmlns:a16="http://schemas.microsoft.com/office/drawing/2014/main" xmlns="" id="{00000000-0008-0000-0200-00001E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Button 30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328613</xdr:colOff>
          <xdr:row>13</xdr:row>
          <xdr:rowOff>76200</xdr:rowOff>
        </xdr:from>
        <xdr:to>
          <xdr:col>21</xdr:col>
          <xdr:colOff>242888</xdr:colOff>
          <xdr:row>14</xdr:row>
          <xdr:rowOff>128588</xdr:rowOff>
        </xdr:to>
        <xdr:sp macro="" textlink="">
          <xdr:nvSpPr>
            <xdr:cNvPr id="2080" name="Button 32" hidden="1">
              <a:extLst>
                <a:ext uri="{63B3BB69-23CF-44E3-9099-C40C66FF867C}">
                  <a14:compatExt spid="_x0000_s2080"/>
                </a:ext>
                <a:ext uri="{FF2B5EF4-FFF2-40B4-BE49-F238E27FC236}">
                  <a16:creationId xmlns:a16="http://schemas.microsoft.com/office/drawing/2014/main" xmlns="" id="{00000000-0008-0000-0200-000020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Button 32</a:t>
              </a:r>
            </a:p>
          </xdr:txBody>
        </xdr:sp>
        <xdr:clientData fPrintsWithSheet="0"/>
      </xdr:twoCellAnchor>
    </mc:Choice>
    <mc:Fallback/>
  </mc:AlternateContent>
  <xdr:twoCellAnchor>
    <xdr:from>
      <xdr:col>14</xdr:col>
      <xdr:colOff>591109</xdr:colOff>
      <xdr:row>62</xdr:row>
      <xdr:rowOff>62755</xdr:rowOff>
    </xdr:from>
    <xdr:to>
      <xdr:col>22</xdr:col>
      <xdr:colOff>406211</xdr:colOff>
      <xdr:row>78</xdr:row>
      <xdr:rowOff>122145</xdr:rowOff>
    </xdr:to>
    <xdr:graphicFrame macro="">
      <xdr:nvGraphicFramePr>
        <xdr:cNvPr id="4" name="Chart 3">
          <a:extLst>
            <a:ext uri="{FF2B5EF4-FFF2-40B4-BE49-F238E27FC236}">
              <a16:creationId xmlns:a16="http://schemas.microsoft.com/office/drawing/2014/main" xmlns=""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800100</xdr:colOff>
          <xdr:row>4</xdr:row>
          <xdr:rowOff>0</xdr:rowOff>
        </xdr:from>
        <xdr:to>
          <xdr:col>8</xdr:col>
          <xdr:colOff>900113</xdr:colOff>
          <xdr:row>4</xdr:row>
          <xdr:rowOff>214313</xdr:rowOff>
        </xdr:to>
        <xdr:sp macro="" textlink="">
          <xdr:nvSpPr>
            <xdr:cNvPr id="1130" name="Drop Down 106" hidden="1">
              <a:extLst>
                <a:ext uri="{63B3BB69-23CF-44E3-9099-C40C66FF867C}">
                  <a14:compatExt spid="_x0000_s1130"/>
                </a:ext>
                <a:ext uri="{FF2B5EF4-FFF2-40B4-BE49-F238E27FC236}">
                  <a16:creationId xmlns:a16="http://schemas.microsoft.com/office/drawing/2014/main" xmlns="" id="{00000000-0008-0000-03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723900</xdr:colOff>
          <xdr:row>3</xdr:row>
          <xdr:rowOff>61913</xdr:rowOff>
        </xdr:from>
        <xdr:to>
          <xdr:col>7</xdr:col>
          <xdr:colOff>785813</xdr:colOff>
          <xdr:row>5</xdr:row>
          <xdr:rowOff>0</xdr:rowOff>
        </xdr:to>
        <xdr:sp macro="" textlink="">
          <xdr:nvSpPr>
            <xdr:cNvPr id="1189" name="List Box 165" hidden="1">
              <a:extLst>
                <a:ext uri="{63B3BB69-23CF-44E3-9099-C40C66FF867C}">
                  <a14:compatExt spid="_x0000_s1189"/>
                </a:ext>
                <a:ext uri="{FF2B5EF4-FFF2-40B4-BE49-F238E27FC236}">
                  <a16:creationId xmlns:a16="http://schemas.microsoft.com/office/drawing/2014/main" xmlns="" id="{00000000-0008-0000-0300-0000A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890588</xdr:colOff>
          <xdr:row>4</xdr:row>
          <xdr:rowOff>0</xdr:rowOff>
        </xdr:from>
        <xdr:to>
          <xdr:col>10</xdr:col>
          <xdr:colOff>14288</xdr:colOff>
          <xdr:row>5</xdr:row>
          <xdr:rowOff>0</xdr:rowOff>
        </xdr:to>
        <xdr:sp macro="" textlink="">
          <xdr:nvSpPr>
            <xdr:cNvPr id="1289" name="Drop Down 265" hidden="1">
              <a:extLst>
                <a:ext uri="{63B3BB69-23CF-44E3-9099-C40C66FF867C}">
                  <a14:compatExt spid="_x0000_s1289"/>
                </a:ext>
                <a:ext uri="{FF2B5EF4-FFF2-40B4-BE49-F238E27FC236}">
                  <a16:creationId xmlns:a16="http://schemas.microsoft.com/office/drawing/2014/main" xmlns="" id="{00000000-0008-0000-0300-000009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12</xdr:row>
          <xdr:rowOff>71438</xdr:rowOff>
        </xdr:from>
        <xdr:to>
          <xdr:col>1</xdr:col>
          <xdr:colOff>300038</xdr:colOff>
          <xdr:row>13</xdr:row>
          <xdr:rowOff>100013</xdr:rowOff>
        </xdr:to>
        <xdr:sp macro="" textlink="">
          <xdr:nvSpPr>
            <xdr:cNvPr id="1293" name="Button 269" hidden="1">
              <a:extLst>
                <a:ext uri="{63B3BB69-23CF-44E3-9099-C40C66FF867C}">
                  <a14:compatExt spid="_x0000_s1293"/>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k max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12</xdr:row>
          <xdr:rowOff>142875</xdr:rowOff>
        </xdr:from>
        <xdr:to>
          <xdr:col>3</xdr:col>
          <xdr:colOff>295275</xdr:colOff>
          <xdr:row>14</xdr:row>
          <xdr:rowOff>9525</xdr:rowOff>
        </xdr:to>
        <xdr:sp macro="" textlink="">
          <xdr:nvSpPr>
            <xdr:cNvPr id="1294" name="Button 270" hidden="1">
              <a:extLst>
                <a:ext uri="{63B3BB69-23CF-44E3-9099-C40C66FF867C}">
                  <a14:compatExt spid="_x0000_s129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tol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19</xdr:col>
      <xdr:colOff>9525</xdr:colOff>
      <xdr:row>25</xdr:row>
      <xdr:rowOff>647700</xdr:rowOff>
    </xdr:from>
    <xdr:to>
      <xdr:col>27</xdr:col>
      <xdr:colOff>38100</xdr:colOff>
      <xdr:row>44</xdr:row>
      <xdr:rowOff>9525</xdr:rowOff>
    </xdr:to>
    <xdr:pic>
      <xdr:nvPicPr>
        <xdr:cNvPr id="3079" name="Picture 7">
          <a:extLst>
            <a:ext uri="{FF2B5EF4-FFF2-40B4-BE49-F238E27FC236}">
              <a16:creationId xmlns:a16="http://schemas.microsoft.com/office/drawing/2014/main" xmlns="" id="{00000000-0008-0000-0400-00000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01700" y="5362575"/>
          <a:ext cx="4905375" cy="2933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38100</xdr:colOff>
      <xdr:row>7</xdr:row>
      <xdr:rowOff>19050</xdr:rowOff>
    </xdr:from>
    <xdr:to>
      <xdr:col>28</xdr:col>
      <xdr:colOff>57150</xdr:colOff>
      <xdr:row>21</xdr:row>
      <xdr:rowOff>123825</xdr:rowOff>
    </xdr:to>
    <xdr:pic>
      <xdr:nvPicPr>
        <xdr:cNvPr id="3081" name="Picture 9">
          <a:extLst>
            <a:ext uri="{FF2B5EF4-FFF2-40B4-BE49-F238E27FC236}">
              <a16:creationId xmlns:a16="http://schemas.microsoft.com/office/drawing/2014/main" xmlns="" id="{00000000-0008-0000-0400-000009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239875" y="1228725"/>
          <a:ext cx="4895850" cy="2933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142875</xdr:colOff>
      <xdr:row>9</xdr:row>
      <xdr:rowOff>28575</xdr:rowOff>
    </xdr:from>
    <xdr:to>
      <xdr:col>17</xdr:col>
      <xdr:colOff>447675</xdr:colOff>
      <xdr:row>22</xdr:row>
      <xdr:rowOff>95250</xdr:rowOff>
    </xdr:to>
    <xdr:graphicFrame macro="">
      <xdr:nvGraphicFramePr>
        <xdr:cNvPr id="2" name="Chart 1">
          <a:extLst>
            <a:ext uri="{FF2B5EF4-FFF2-40B4-BE49-F238E27FC236}">
              <a16:creationId xmlns:a16="http://schemas.microsoft.com/office/drawing/2014/main" xmlns=""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609600</xdr:colOff>
      <xdr:row>24</xdr:row>
      <xdr:rowOff>152400</xdr:rowOff>
    </xdr:from>
    <xdr:to>
      <xdr:col>17</xdr:col>
      <xdr:colOff>228600</xdr:colOff>
      <xdr:row>38</xdr:row>
      <xdr:rowOff>9525</xdr:rowOff>
    </xdr:to>
    <xdr:graphicFrame macro="">
      <xdr:nvGraphicFramePr>
        <xdr:cNvPr id="3" name="Chart 2">
          <a:extLst>
            <a:ext uri="{FF2B5EF4-FFF2-40B4-BE49-F238E27FC236}">
              <a16:creationId xmlns:a16="http://schemas.microsoft.com/office/drawing/2014/main" xmlns=""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____1"/>
  <dimension ref="A1:O67"/>
  <sheetViews>
    <sheetView workbookViewId="0"/>
  </sheetViews>
  <sheetFormatPr defaultColWidth="8.796875" defaultRowHeight="12.75"/>
  <cols>
    <col min="1" max="1" width="4.33203125" customWidth="1"/>
    <col min="2" max="2" width="10" customWidth="1"/>
    <col min="3" max="3" width="9.33203125" customWidth="1"/>
    <col min="4" max="4" width="7.1328125" customWidth="1"/>
    <col min="5" max="5" width="9.796875" customWidth="1"/>
    <col min="6" max="6" width="8" bestFit="1" customWidth="1"/>
    <col min="7" max="7" width="11.33203125" bestFit="1" customWidth="1"/>
    <col min="8" max="8" width="29.6640625" customWidth="1"/>
    <col min="9" max="9" width="14.796875" customWidth="1"/>
    <col min="10" max="10" width="14.33203125" customWidth="1"/>
    <col min="11" max="11" width="9.33203125" customWidth="1"/>
  </cols>
  <sheetData>
    <row r="1" spans="1:15" ht="13.15">
      <c r="A1" s="107" t="s">
        <v>71</v>
      </c>
    </row>
    <row r="2" spans="1:15" ht="13.15" thickBot="1">
      <c r="A2" t="s">
        <v>72</v>
      </c>
    </row>
    <row r="3" spans="1:15" ht="48" customHeight="1">
      <c r="A3" s="108" t="s">
        <v>0</v>
      </c>
      <c r="B3" s="109" t="s">
        <v>57</v>
      </c>
      <c r="C3" s="109" t="s">
        <v>58</v>
      </c>
      <c r="D3" s="109" t="s">
        <v>59</v>
      </c>
      <c r="E3" s="109" t="s">
        <v>60</v>
      </c>
      <c r="F3" s="109" t="s">
        <v>61</v>
      </c>
      <c r="G3" s="109" t="s">
        <v>64</v>
      </c>
      <c r="H3" s="109" t="s">
        <v>73</v>
      </c>
      <c r="I3" s="109" t="s">
        <v>62</v>
      </c>
      <c r="J3" s="109" t="s">
        <v>63</v>
      </c>
      <c r="K3" s="110" t="s">
        <v>23</v>
      </c>
    </row>
    <row r="4" spans="1:15">
      <c r="A4" s="60">
        <v>0</v>
      </c>
      <c r="B4" s="61">
        <v>1E+20</v>
      </c>
      <c r="C4" s="60">
        <v>0</v>
      </c>
      <c r="D4" s="60">
        <v>400</v>
      </c>
      <c r="E4" s="60">
        <v>1.1100000000000001</v>
      </c>
      <c r="F4" s="62">
        <v>1.0000000000000001E-5</v>
      </c>
      <c r="G4" s="61">
        <v>400000</v>
      </c>
      <c r="H4" s="63" t="s">
        <v>74</v>
      </c>
      <c r="I4" s="64">
        <f>2*E4*D4/(2*E4-1)</f>
        <v>727.86885245901635</v>
      </c>
      <c r="J4" s="65">
        <f t="shared" ref="J4:J67" si="0">(K4*D4/G4)^(1/(2*E4))</f>
        <v>45462954.695323914</v>
      </c>
      <c r="K4" s="66">
        <f>B4/((1+C4)^(2*E4))</f>
        <v>1E+20</v>
      </c>
    </row>
    <row r="5" spans="1:15">
      <c r="A5" s="111">
        <v>1</v>
      </c>
      <c r="B5" s="112">
        <v>1.3200635000000001E+52</v>
      </c>
      <c r="C5" s="111">
        <v>1.6240000000000001</v>
      </c>
      <c r="D5" s="111">
        <v>1620</v>
      </c>
      <c r="E5" s="111">
        <v>2.6207999999996998</v>
      </c>
      <c r="F5" s="111">
        <v>1.0000000000000001E-5</v>
      </c>
      <c r="G5" s="112">
        <v>2640000000</v>
      </c>
      <c r="H5" s="111" t="s">
        <v>75</v>
      </c>
      <c r="I5" s="113">
        <f t="shared" ref="I5:I67" si="1">2*E5*D5/(2*E5-1)</f>
        <v>2001.9313466616909</v>
      </c>
      <c r="J5" s="114">
        <f t="shared" si="0"/>
        <v>218538053.75470608</v>
      </c>
      <c r="K5" s="115">
        <f t="shared" ref="K5:K67" si="2">B5/((1+C5)^(2*E5))</f>
        <v>8.4053152720951695E+49</v>
      </c>
    </row>
    <row r="6" spans="1:15">
      <c r="A6" s="1">
        <v>2</v>
      </c>
      <c r="B6" s="2">
        <v>1.330064E+52</v>
      </c>
      <c r="C6" s="1">
        <v>1.6359999999999999</v>
      </c>
      <c r="D6" s="1">
        <v>1630</v>
      </c>
      <c r="E6" s="1">
        <v>2.6318999999996899</v>
      </c>
      <c r="F6" s="1">
        <v>1.0000000000000001E-5</v>
      </c>
      <c r="G6" s="2">
        <v>2660000000</v>
      </c>
      <c r="H6" s="1" t="s">
        <v>76</v>
      </c>
      <c r="I6" s="103">
        <f t="shared" si="1"/>
        <v>2012.2880998171202</v>
      </c>
      <c r="J6" s="104">
        <f t="shared" si="0"/>
        <v>200038882.17951778</v>
      </c>
      <c r="K6" s="67">
        <f t="shared" si="2"/>
        <v>8.0928242897250526E+49</v>
      </c>
    </row>
    <row r="7" spans="1:15">
      <c r="A7" s="1">
        <v>3</v>
      </c>
      <c r="B7" s="2">
        <v>1.3400645000000001E+52</v>
      </c>
      <c r="C7" s="1">
        <v>1.6479999999999999</v>
      </c>
      <c r="D7" s="1">
        <v>1640</v>
      </c>
      <c r="E7" s="1">
        <v>2.64299999999968</v>
      </c>
      <c r="F7" s="1">
        <v>1.0000000000000001E-5</v>
      </c>
      <c r="G7" s="2">
        <v>2680000000</v>
      </c>
      <c r="H7" s="1" t="s">
        <v>77</v>
      </c>
      <c r="I7" s="103">
        <f t="shared" si="1"/>
        <v>2022.6411572562401</v>
      </c>
      <c r="J7" s="104">
        <f t="shared" si="0"/>
        <v>183237213.80570087</v>
      </c>
      <c r="K7" s="67">
        <f t="shared" si="2"/>
        <v>7.7907856562055439E+49</v>
      </c>
    </row>
    <row r="8" spans="1:15">
      <c r="A8" s="1">
        <v>4</v>
      </c>
      <c r="B8" s="2">
        <v>1.350065E+52</v>
      </c>
      <c r="C8" s="1">
        <v>1.66</v>
      </c>
      <c r="D8" s="1">
        <v>1650</v>
      </c>
      <c r="E8" s="1">
        <v>2.6540999999996702</v>
      </c>
      <c r="F8" s="1">
        <v>1.0000000000000001E-5</v>
      </c>
      <c r="G8" s="2">
        <v>2700000000</v>
      </c>
      <c r="H8" s="1" t="s">
        <v>78</v>
      </c>
      <c r="I8" s="103">
        <f t="shared" si="1"/>
        <v>2032.9905761107311</v>
      </c>
      <c r="J8" s="104">
        <f t="shared" si="0"/>
        <v>167965856.18716684</v>
      </c>
      <c r="K8" s="67">
        <f t="shared" si="2"/>
        <v>7.4989071261342963E+49</v>
      </c>
    </row>
    <row r="9" spans="1:15">
      <c r="A9" s="1">
        <v>5</v>
      </c>
      <c r="B9" s="2">
        <v>1.3600655000000001E+52</v>
      </c>
      <c r="C9" s="1">
        <v>1.6719999999999999</v>
      </c>
      <c r="D9" s="1">
        <v>1660</v>
      </c>
      <c r="E9" s="1">
        <v>2.6651999999996598</v>
      </c>
      <c r="F9" s="1">
        <v>1.0000000000000001E-5</v>
      </c>
      <c r="G9" s="2">
        <v>2720000000</v>
      </c>
      <c r="H9" s="1" t="s">
        <v>79</v>
      </c>
      <c r="I9" s="103">
        <f t="shared" si="1"/>
        <v>2043.3364123407216</v>
      </c>
      <c r="J9" s="104">
        <f t="shared" si="0"/>
        <v>154075158.52451628</v>
      </c>
      <c r="K9" s="67">
        <f t="shared" si="2"/>
        <v>7.2169017166676157E+49</v>
      </c>
    </row>
    <row r="10" spans="1:15">
      <c r="A10" s="1">
        <v>6</v>
      </c>
      <c r="B10" s="2">
        <v>1.370066E+52</v>
      </c>
      <c r="C10" s="1">
        <v>1.6839999999999999</v>
      </c>
      <c r="D10" s="1">
        <v>1670</v>
      </c>
      <c r="E10" s="1">
        <v>2.67629999999965</v>
      </c>
      <c r="F10" s="1">
        <v>1.0000000000000001E-5</v>
      </c>
      <c r="G10" s="2">
        <v>2740000000</v>
      </c>
      <c r="H10" s="1" t="s">
        <v>80</v>
      </c>
      <c r="I10" s="103">
        <f t="shared" si="1"/>
        <v>2053.6787207646621</v>
      </c>
      <c r="J10" s="104">
        <f t="shared" si="0"/>
        <v>141431062.99647093</v>
      </c>
      <c r="K10" s="67">
        <f t="shared" si="2"/>
        <v>6.9444877767578047E+49</v>
      </c>
    </row>
    <row r="11" spans="1:15">
      <c r="A11" s="1">
        <v>7</v>
      </c>
      <c r="B11" s="2">
        <v>1.3800665000000001E+52</v>
      </c>
      <c r="C11" s="1">
        <v>1.696</v>
      </c>
      <c r="D11" s="1">
        <v>1680</v>
      </c>
      <c r="E11" s="1">
        <v>2.6873999999996401</v>
      </c>
      <c r="F11" s="1">
        <v>1.0000000000000001E-5</v>
      </c>
      <c r="G11" s="2">
        <v>2760000000</v>
      </c>
      <c r="H11" s="1" t="s">
        <v>81</v>
      </c>
      <c r="I11" s="103">
        <f t="shared" si="1"/>
        <v>2064.0175550882959</v>
      </c>
      <c r="J11" s="104">
        <f t="shared" si="0"/>
        <v>129913384.15759315</v>
      </c>
      <c r="K11" s="67">
        <f t="shared" si="2"/>
        <v>6.681389043604658E+49</v>
      </c>
    </row>
    <row r="12" spans="1:15">
      <c r="A12" s="1">
        <v>8</v>
      </c>
      <c r="B12" s="2">
        <v>1.390067E+52</v>
      </c>
      <c r="C12" s="1">
        <v>1.708</v>
      </c>
      <c r="D12" s="1">
        <v>1690</v>
      </c>
      <c r="E12" s="1">
        <v>2.6984999999996302</v>
      </c>
      <c r="F12" s="1">
        <v>1.0000000000000001E-5</v>
      </c>
      <c r="G12" s="2">
        <v>2780000000</v>
      </c>
      <c r="H12" s="1" t="s">
        <v>82</v>
      </c>
      <c r="I12" s="103">
        <f t="shared" si="1"/>
        <v>2074.3529679327462</v>
      </c>
      <c r="J12" s="104">
        <f t="shared" si="0"/>
        <v>119414288.39739411</v>
      </c>
      <c r="K12" s="67">
        <f t="shared" si="2"/>
        <v>6.4273346870814807E+49</v>
      </c>
    </row>
    <row r="13" spans="1:15">
      <c r="A13" s="1">
        <v>9</v>
      </c>
      <c r="B13" s="2">
        <v>1.4000675000000001E+52</v>
      </c>
      <c r="C13" s="1">
        <v>1.72</v>
      </c>
      <c r="D13" s="1">
        <v>1700</v>
      </c>
      <c r="E13" s="1">
        <v>2.7095999999996199</v>
      </c>
      <c r="F13" s="1">
        <v>1.0000000000000001E-5</v>
      </c>
      <c r="G13" s="2">
        <v>2800000000</v>
      </c>
      <c r="H13" s="1" t="s">
        <v>83</v>
      </c>
      <c r="I13" s="103">
        <f t="shared" si="1"/>
        <v>2084.6850108617605</v>
      </c>
      <c r="J13" s="104">
        <f t="shared" si="0"/>
        <v>109836949.05110747</v>
      </c>
      <c r="K13" s="67">
        <f t="shared" si="2"/>
        <v>6.1820593428670233E+49</v>
      </c>
    </row>
    <row r="14" spans="1:15">
      <c r="A14" s="1">
        <v>10</v>
      </c>
      <c r="B14" s="2">
        <v>1.410068E+52</v>
      </c>
      <c r="C14" s="1">
        <v>1.732</v>
      </c>
      <c r="D14" s="1">
        <v>1710</v>
      </c>
      <c r="E14" s="1">
        <v>2.72069999999961</v>
      </c>
      <c r="F14" s="1">
        <v>1.0000000000000001E-5</v>
      </c>
      <c r="G14" s="2">
        <v>2820000000</v>
      </c>
      <c r="H14" s="1" t="s">
        <v>84</v>
      </c>
      <c r="I14" s="103">
        <f t="shared" si="1"/>
        <v>2095.0137344081372</v>
      </c>
      <c r="J14" s="104">
        <f t="shared" si="0"/>
        <v>101094355.8665393</v>
      </c>
      <c r="K14" s="67">
        <f t="shared" si="2"/>
        <v>5.9453031349840186E+49</v>
      </c>
      <c r="O14" t="s">
        <v>85</v>
      </c>
    </row>
    <row r="15" spans="1:15">
      <c r="A15" s="1">
        <v>11</v>
      </c>
      <c r="B15" s="2">
        <v>1.4200685000000001E+52</v>
      </c>
      <c r="C15" s="1">
        <v>1.744</v>
      </c>
      <c r="D15" s="1">
        <v>1720</v>
      </c>
      <c r="E15" s="1">
        <v>2.7317999999996001</v>
      </c>
      <c r="F15" s="1">
        <v>1.0000000000000001E-5</v>
      </c>
      <c r="G15" s="2">
        <v>2840000000</v>
      </c>
      <c r="H15" s="1" t="s">
        <v>86</v>
      </c>
      <c r="I15" s="103">
        <f t="shared" si="1"/>
        <v>2105.3391880993613</v>
      </c>
      <c r="J15" s="104">
        <f t="shared" si="0"/>
        <v>93108260.231389597</v>
      </c>
      <c r="K15" s="67">
        <f t="shared" si="2"/>
        <v>5.716811688416956E+49</v>
      </c>
    </row>
    <row r="16" spans="1:15">
      <c r="A16" s="1">
        <v>12</v>
      </c>
      <c r="B16" s="2">
        <v>1.4300689999999999E+52</v>
      </c>
      <c r="C16" s="1">
        <v>1.756</v>
      </c>
      <c r="D16" s="1">
        <v>1730</v>
      </c>
      <c r="E16" s="1">
        <v>2.7428999999995902</v>
      </c>
      <c r="F16" s="1">
        <v>1.0000000000000001E-5</v>
      </c>
      <c r="G16" s="2">
        <v>2860000000</v>
      </c>
      <c r="H16" s="1" t="s">
        <v>87</v>
      </c>
      <c r="I16" s="103">
        <f t="shared" si="1"/>
        <v>2115.6614204824818</v>
      </c>
      <c r="J16" s="104">
        <f t="shared" si="0"/>
        <v>85808239.90851143</v>
      </c>
      <c r="K16" s="67">
        <f t="shared" si="2"/>
        <v>5.4963361324529225E+49</v>
      </c>
    </row>
    <row r="17" spans="1:11">
      <c r="A17" s="1">
        <v>13</v>
      </c>
      <c r="B17" s="2">
        <v>1.4400695000000001E+52</v>
      </c>
      <c r="C17" s="1">
        <v>1.768</v>
      </c>
      <c r="D17" s="1">
        <v>1740</v>
      </c>
      <c r="E17" s="1">
        <v>2.7539999999995799</v>
      </c>
      <c r="F17" s="1">
        <v>1.0000000000000001E-5</v>
      </c>
      <c r="G17" s="2">
        <v>2880000000</v>
      </c>
      <c r="H17" s="106"/>
      <c r="I17" s="103">
        <f t="shared" si="1"/>
        <v>2125.9804791482529</v>
      </c>
      <c r="J17" s="104">
        <f t="shared" si="0"/>
        <v>79130869.06186147</v>
      </c>
      <c r="K17" s="67">
        <f t="shared" si="2"/>
        <v>5.2836330953624458E+49</v>
      </c>
    </row>
    <row r="18" spans="1:11">
      <c r="A18" s="1">
        <v>14</v>
      </c>
      <c r="B18" s="2">
        <v>1.4500699999999999E+52</v>
      </c>
      <c r="C18" s="1">
        <v>1.78</v>
      </c>
      <c r="D18" s="1">
        <v>1750</v>
      </c>
      <c r="E18" s="1">
        <v>2.76509999999957</v>
      </c>
      <c r="F18" s="1">
        <v>1.0000000000000001E-5</v>
      </c>
      <c r="G18" s="2">
        <v>2900000000</v>
      </c>
      <c r="H18" s="106"/>
      <c r="I18" s="103">
        <f t="shared" si="1"/>
        <v>2136.2964107545654</v>
      </c>
      <c r="J18" s="104">
        <f t="shared" si="0"/>
        <v>73018981.125346139</v>
      </c>
      <c r="K18" s="67">
        <f t="shared" si="2"/>
        <v>5.0784646910099324E+49</v>
      </c>
    </row>
    <row r="19" spans="1:11">
      <c r="A19" s="1">
        <v>15</v>
      </c>
      <c r="B19" s="2">
        <v>1.4600705000000001E+52</v>
      </c>
      <c r="C19" s="1">
        <v>1.792</v>
      </c>
      <c r="D19" s="1">
        <v>1760</v>
      </c>
      <c r="E19" s="1">
        <v>2.7761999999995601</v>
      </c>
      <c r="F19" s="1">
        <v>1.0000000000000001E-5</v>
      </c>
      <c r="G19" s="2">
        <v>2920000000</v>
      </c>
      <c r="H19" s="106"/>
      <c r="I19" s="103">
        <f t="shared" si="1"/>
        <v>2146.6092610491919</v>
      </c>
      <c r="J19" s="104">
        <f t="shared" si="0"/>
        <v>67421013.606579453</v>
      </c>
      <c r="K19" s="67">
        <f t="shared" si="2"/>
        <v>4.8805984979582545E+49</v>
      </c>
    </row>
    <row r="20" spans="1:11">
      <c r="A20" s="1">
        <v>16</v>
      </c>
      <c r="B20" s="2">
        <v>1.4700709999999999E+52</v>
      </c>
      <c r="C20" s="1">
        <v>1.804</v>
      </c>
      <c r="D20" s="1">
        <v>1770</v>
      </c>
      <c r="E20" s="1">
        <v>2.7872999999995498</v>
      </c>
      <c r="F20" s="1">
        <v>1.0000000000000001E-5</v>
      </c>
      <c r="G20" s="2">
        <v>2940000000</v>
      </c>
      <c r="H20" s="106"/>
      <c r="I20" s="103">
        <f t="shared" si="1"/>
        <v>2156.91907489187</v>
      </c>
      <c r="J20" s="104">
        <f t="shared" si="0"/>
        <v>62290425.258676298</v>
      </c>
      <c r="K20" s="67">
        <f t="shared" si="2"/>
        <v>4.6898075316055839E+49</v>
      </c>
    </row>
    <row r="21" spans="1:11">
      <c r="A21" s="1">
        <v>17</v>
      </c>
      <c r="B21" s="2">
        <v>1.4800715000000001E+52</v>
      </c>
      <c r="C21" s="1">
        <v>1.8160000000000001</v>
      </c>
      <c r="D21" s="1">
        <v>1780</v>
      </c>
      <c r="E21" s="1">
        <v>2.7983999999995399</v>
      </c>
      <c r="F21" s="1">
        <v>1.0000000000000001E-5</v>
      </c>
      <c r="G21" s="2">
        <v>2960000000</v>
      </c>
      <c r="H21" s="106"/>
      <c r="I21" s="103">
        <f t="shared" si="1"/>
        <v>2167.2258962757478</v>
      </c>
      <c r="J21" s="104">
        <f t="shared" si="0"/>
        <v>57585177.222318016</v>
      </c>
      <c r="K21" s="67">
        <f t="shared" si="2"/>
        <v>4.5058702098693396E+49</v>
      </c>
    </row>
    <row r="22" spans="1:11">
      <c r="A22" s="1">
        <v>18</v>
      </c>
      <c r="B22" s="2">
        <v>1.4900719999999999E+52</v>
      </c>
      <c r="C22" s="1">
        <v>1.8280000000000001</v>
      </c>
      <c r="D22" s="1">
        <v>1790</v>
      </c>
      <c r="E22" s="1">
        <v>2.80949999999953</v>
      </c>
      <c r="F22" s="1">
        <v>1.0000000000000001E-5</v>
      </c>
      <c r="G22" s="2">
        <v>2980000000</v>
      </c>
      <c r="H22" s="106"/>
      <c r="I22" s="103">
        <f t="shared" si="1"/>
        <v>2177.5297683482063</v>
      </c>
      <c r="J22" s="104">
        <f t="shared" si="0"/>
        <v>53267270.760383531</v>
      </c>
      <c r="K22" s="67">
        <f t="shared" si="2"/>
        <v>4.3285703129072406E+49</v>
      </c>
    </row>
    <row r="23" spans="1:11">
      <c r="A23" s="1">
        <v>19</v>
      </c>
      <c r="B23" s="2">
        <v>1.5000725000000001E+52</v>
      </c>
      <c r="C23" s="1">
        <v>1.84</v>
      </c>
      <c r="D23" s="1">
        <v>1800</v>
      </c>
      <c r="E23" s="1">
        <v>2.8205999999995202</v>
      </c>
      <c r="F23" s="1">
        <v>1.0000000000000001E-5</v>
      </c>
      <c r="G23" s="2">
        <v>3000000000</v>
      </c>
      <c r="H23" s="106"/>
      <c r="I23" s="103">
        <f t="shared" si="1"/>
        <v>2187.8307334310894</v>
      </c>
      <c r="J23" s="104">
        <f t="shared" si="0"/>
        <v>49302335.098193392</v>
      </c>
      <c r="K23" s="67">
        <f t="shared" si="2"/>
        <v>4.1576969373433267E+49</v>
      </c>
    </row>
    <row r="24" spans="1:11">
      <c r="A24" s="1">
        <v>20</v>
      </c>
      <c r="B24" s="2">
        <v>1.5100729999999999E+52</v>
      </c>
      <c r="C24" s="1">
        <v>1.8520000000000001</v>
      </c>
      <c r="D24" s="1">
        <v>1810</v>
      </c>
      <c r="E24" s="1">
        <v>2.8316999999995098</v>
      </c>
      <c r="F24" s="1">
        <v>1.0000000000000001E-5</v>
      </c>
      <c r="G24" s="2">
        <v>3020000000</v>
      </c>
      <c r="H24" s="106"/>
      <c r="I24" s="103">
        <f t="shared" si="1"/>
        <v>2198.1288330403527</v>
      </c>
      <c r="J24" s="104">
        <f t="shared" si="0"/>
        <v>45659259.660966493</v>
      </c>
      <c r="K24" s="67">
        <f t="shared" si="2"/>
        <v>3.9930444454436875E+49</v>
      </c>
    </row>
    <row r="25" spans="1:11">
      <c r="A25" s="1">
        <v>21</v>
      </c>
      <c r="B25" s="2">
        <v>1.5200735E+52</v>
      </c>
      <c r="C25" s="1">
        <v>1.8640000000000001</v>
      </c>
      <c r="D25" s="1">
        <v>1820</v>
      </c>
      <c r="E25" s="1">
        <v>2.8427999999994999</v>
      </c>
      <c r="F25" s="1">
        <v>1.0000000000000001E-5</v>
      </c>
      <c r="G25" s="2">
        <v>3040000000</v>
      </c>
      <c r="H25" s="106"/>
      <c r="I25" s="103">
        <f t="shared" si="1"/>
        <v>2208.424107905154</v>
      </c>
      <c r="J25" s="104">
        <f t="shared" si="0"/>
        <v>42309865.681083828</v>
      </c>
      <c r="K25" s="67">
        <f t="shared" si="2"/>
        <v>3.8344124096657693E+49</v>
      </c>
    </row>
    <row r="26" spans="1:11">
      <c r="A26" s="1">
        <v>22</v>
      </c>
      <c r="B26" s="2">
        <v>1.5300739999999999E+52</v>
      </c>
      <c r="C26" s="1">
        <v>1.8759999999999999</v>
      </c>
      <c r="D26" s="1">
        <v>1830</v>
      </c>
      <c r="E26" s="1">
        <v>2.8538999999994901</v>
      </c>
      <c r="F26" s="1">
        <v>1.0000000000000001E-5</v>
      </c>
      <c r="G26" s="2">
        <v>3060000000</v>
      </c>
      <c r="H26" s="106"/>
      <c r="I26" s="103">
        <f t="shared" si="1"/>
        <v>2218.7165979864048</v>
      </c>
      <c r="J26" s="104">
        <f t="shared" si="0"/>
        <v>39228612.743981734</v>
      </c>
      <c r="K26" s="67">
        <f t="shared" si="2"/>
        <v>3.6816055529835847E+49</v>
      </c>
    </row>
    <row r="27" spans="1:11">
      <c r="A27" s="1">
        <v>23</v>
      </c>
      <c r="B27" s="2">
        <v>1.5400745E+52</v>
      </c>
      <c r="C27" s="1">
        <v>1.8879999999999999</v>
      </c>
      <c r="D27" s="1">
        <v>1840</v>
      </c>
      <c r="E27" s="1">
        <v>2.8649999999994802</v>
      </c>
      <c r="F27" s="1">
        <v>1.0000000000000001E-5</v>
      </c>
      <c r="G27" s="2">
        <v>3080000000</v>
      </c>
      <c r="H27" s="106"/>
      <c r="I27" s="103">
        <f t="shared" si="1"/>
        <v>2229.0063424948003</v>
      </c>
      <c r="J27" s="104">
        <f t="shared" si="0"/>
        <v>36392336.363887496</v>
      </c>
      <c r="K27" s="67">
        <f t="shared" si="2"/>
        <v>3.5344336853715457E+49</v>
      </c>
    </row>
    <row r="28" spans="1:11">
      <c r="A28" s="1">
        <v>24</v>
      </c>
      <c r="B28" s="2">
        <v>1.5500749999999999E+52</v>
      </c>
      <c r="C28" s="1">
        <v>1.9</v>
      </c>
      <c r="D28" s="1">
        <v>1850</v>
      </c>
      <c r="E28" s="1">
        <v>2.8760999999994699</v>
      </c>
      <c r="F28" s="1">
        <v>1.0000000000000001E-5</v>
      </c>
      <c r="G28" s="2">
        <v>3100000000</v>
      </c>
      <c r="H28" s="106"/>
      <c r="I28" s="103">
        <f t="shared" si="1"/>
        <v>2239.2933799083398</v>
      </c>
      <c r="J28" s="104">
        <f t="shared" si="0"/>
        <v>33780013.138709366</v>
      </c>
      <c r="K28" s="67">
        <f t="shared" si="2"/>
        <v>3.3927116368095502E+49</v>
      </c>
    </row>
    <row r="29" spans="1:11">
      <c r="A29" s="1">
        <v>25</v>
      </c>
      <c r="B29" s="2">
        <v>1.5600755E+52</v>
      </c>
      <c r="C29" s="1">
        <v>1.9119999999999999</v>
      </c>
      <c r="D29" s="1">
        <v>1860</v>
      </c>
      <c r="E29" s="1">
        <v>2.88719999999946</v>
      </c>
      <c r="F29" s="1">
        <v>1.0000000000000001E-5</v>
      </c>
      <c r="G29" s="2">
        <v>3120000000</v>
      </c>
      <c r="H29" s="106"/>
      <c r="I29" s="103">
        <f t="shared" si="1"/>
        <v>2249.5777479893645</v>
      </c>
      <c r="J29" s="104">
        <f t="shared" si="0"/>
        <v>31372550.435436945</v>
      </c>
      <c r="K29" s="67">
        <f t="shared" si="2"/>
        <v>3.2562591871536916E+49</v>
      </c>
    </row>
    <row r="30" spans="1:11">
      <c r="A30" s="1">
        <v>26</v>
      </c>
      <c r="B30" s="2">
        <v>1.5700759999999999E+52</v>
      </c>
      <c r="C30" s="1">
        <v>1.9239999999999999</v>
      </c>
      <c r="D30" s="1">
        <v>1870</v>
      </c>
      <c r="E30" s="1">
        <v>2.8982999999994501</v>
      </c>
      <c r="F30" s="1">
        <v>1.0000000000000001E-5</v>
      </c>
      <c r="G30" s="2">
        <v>3140000000</v>
      </c>
      <c r="H30" s="106"/>
      <c r="I30" s="103">
        <f t="shared" si="1"/>
        <v>2259.8594838011149</v>
      </c>
      <c r="J30" s="104">
        <f t="shared" si="0"/>
        <v>29152597.910530083</v>
      </c>
      <c r="K30" s="67">
        <f t="shared" si="2"/>
        <v>3.1249009931984106E+49</v>
      </c>
    </row>
    <row r="31" spans="1:11">
      <c r="A31" s="1">
        <v>27</v>
      </c>
      <c r="B31" s="2">
        <v>1.5800765E+52</v>
      </c>
      <c r="C31" s="1">
        <v>1.9359999999999999</v>
      </c>
      <c r="D31" s="1">
        <v>1880</v>
      </c>
      <c r="E31" s="1">
        <v>2.9093999999994402</v>
      </c>
      <c r="F31" s="1">
        <v>1.0000000000000001E-5</v>
      </c>
      <c r="G31" s="2">
        <v>3160000000</v>
      </c>
      <c r="H31" s="106"/>
      <c r="I31" s="103">
        <f t="shared" si="1"/>
        <v>2270.1386237238394</v>
      </c>
      <c r="J31" s="104">
        <f t="shared" si="0"/>
        <v>27104378.48017646</v>
      </c>
      <c r="K31" s="67">
        <f t="shared" si="2"/>
        <v>2.9984665132385585E+49</v>
      </c>
    </row>
    <row r="32" spans="1:11">
      <c r="A32" s="1">
        <v>28</v>
      </c>
      <c r="B32" s="2">
        <v>1.5900769999999999E+52</v>
      </c>
      <c r="C32" s="1">
        <v>1.94799999999999</v>
      </c>
      <c r="D32" s="1">
        <v>1890</v>
      </c>
      <c r="E32" s="1">
        <v>2.9204999999994299</v>
      </c>
      <c r="F32" s="1">
        <v>1.0000000000000001E-5</v>
      </c>
      <c r="G32" s="2">
        <v>3180000000</v>
      </c>
      <c r="H32" s="106"/>
      <c r="I32" s="103">
        <f t="shared" si="1"/>
        <v>2280.4152034704493</v>
      </c>
      <c r="J32" s="104">
        <f t="shared" si="0"/>
        <v>25213536.628367968</v>
      </c>
      <c r="K32" s="67">
        <f t="shared" si="2"/>
        <v>2.8767899294230994E+49</v>
      </c>
    </row>
    <row r="33" spans="1:11">
      <c r="A33" s="1">
        <v>29</v>
      </c>
      <c r="B33" s="2">
        <v>1.6000775E+52</v>
      </c>
      <c r="C33" s="1">
        <v>1.95999999999999</v>
      </c>
      <c r="D33" s="1">
        <v>1900</v>
      </c>
      <c r="E33" s="1">
        <v>2.93159999999942</v>
      </c>
      <c r="F33" s="1">
        <v>1.0000000000000001E-5</v>
      </c>
      <c r="G33" s="2">
        <v>3200000000</v>
      </c>
      <c r="H33" s="106"/>
      <c r="I33" s="103">
        <f t="shared" si="1"/>
        <v>2290.6892581017546</v>
      </c>
      <c r="J33" s="104">
        <f t="shared" si="0"/>
        <v>23467002.181156624</v>
      </c>
      <c r="K33" s="67">
        <f t="shared" si="2"/>
        <v>2.7597100681754561E+49</v>
      </c>
    </row>
    <row r="34" spans="1:11">
      <c r="A34" s="1">
        <v>30</v>
      </c>
      <c r="B34" s="2">
        <v>1.6100779999999999E+52</v>
      </c>
      <c r="C34" s="1">
        <v>1.97199999999999</v>
      </c>
      <c r="D34" s="1">
        <v>1910</v>
      </c>
      <c r="E34" s="1">
        <v>2.9426999999994101</v>
      </c>
      <c r="F34" s="1">
        <v>1.0000000000000001E-5</v>
      </c>
      <c r="G34" s="2">
        <v>3220000000</v>
      </c>
      <c r="H34" s="106"/>
      <c r="I34" s="103">
        <f t="shared" si="1"/>
        <v>2300.9608220412783</v>
      </c>
      <c r="J34" s="104">
        <f t="shared" si="0"/>
        <v>21852867.88726715</v>
      </c>
      <c r="K34" s="67">
        <f t="shared" si="2"/>
        <v>2.647070318941268E+49</v>
      </c>
    </row>
    <row r="35" spans="1:11">
      <c r="A35" s="1">
        <v>31</v>
      </c>
      <c r="B35" s="2">
        <v>1.6200785E+52</v>
      </c>
      <c r="C35" s="1">
        <v>1.98399999999999</v>
      </c>
      <c r="D35" s="1">
        <v>1920</v>
      </c>
      <c r="E35" s="1">
        <v>2.9537999999993998</v>
      </c>
      <c r="F35" s="1">
        <v>1.0000000000000001E-5</v>
      </c>
      <c r="G35" s="2">
        <v>3240000000</v>
      </c>
      <c r="H35" s="106"/>
      <c r="I35" s="103">
        <f t="shared" si="1"/>
        <v>2311.2299290896713</v>
      </c>
      <c r="J35" s="104">
        <f t="shared" si="0"/>
        <v>20360279.332012668</v>
      </c>
      <c r="K35" s="67">
        <f t="shared" si="2"/>
        <v>2.5387185515071114E+49</v>
      </c>
    </row>
    <row r="36" spans="1:11">
      <c r="A36" s="1">
        <v>32</v>
      </c>
      <c r="B36" s="2">
        <v>1.6300790000000001E+52</v>
      </c>
      <c r="C36" s="1">
        <v>1.99599999999999</v>
      </c>
      <c r="D36" s="1">
        <v>1930</v>
      </c>
      <c r="E36" s="1">
        <v>2.9648999999993899</v>
      </c>
      <c r="F36" s="1">
        <v>1.0000000000000001E-5</v>
      </c>
      <c r="G36" s="2">
        <v>3260000000</v>
      </c>
      <c r="H36" s="106"/>
      <c r="I36" s="103">
        <f t="shared" si="1"/>
        <v>2321.4966124387356</v>
      </c>
      <c r="J36" s="104">
        <f t="shared" si="0"/>
        <v>18979335.876271565</v>
      </c>
      <c r="K36" s="67">
        <f t="shared" si="2"/>
        <v>2.4345070321216085E+49</v>
      </c>
    </row>
    <row r="37" spans="1:11">
      <c r="A37" s="1">
        <v>33</v>
      </c>
      <c r="B37" s="2">
        <v>1.6400795E+52</v>
      </c>
      <c r="C37" s="1">
        <v>2.0079999999999898</v>
      </c>
      <c r="D37" s="1">
        <v>1940</v>
      </c>
      <c r="E37" s="1">
        <v>2.97599999999938</v>
      </c>
      <c r="F37" s="1">
        <v>1.0000000000000001E-5</v>
      </c>
      <c r="G37" s="2">
        <v>3280000000</v>
      </c>
      <c r="H37" s="106"/>
      <c r="I37" s="103">
        <f t="shared" si="1"/>
        <v>2331.7609046850739</v>
      </c>
      <c r="J37" s="104">
        <f t="shared" si="0"/>
        <v>17701001.457819954</v>
      </c>
      <c r="K37" s="67">
        <f t="shared" si="2"/>
        <v>2.3342923386351816E+49</v>
      </c>
    </row>
    <row r="38" spans="1:11">
      <c r="A38" s="1">
        <v>34</v>
      </c>
      <c r="B38" s="2">
        <v>1.6500800000000001E+52</v>
      </c>
      <c r="C38" s="1">
        <v>2.0199999999999898</v>
      </c>
      <c r="D38" s="1">
        <v>1950</v>
      </c>
      <c r="E38" s="1">
        <v>2.9870999999993701</v>
      </c>
      <c r="F38" s="1">
        <v>1.0000000000000001E-5</v>
      </c>
      <c r="G38" s="2">
        <v>3300000000</v>
      </c>
      <c r="H38" s="106"/>
      <c r="I38" s="103">
        <f t="shared" si="1"/>
        <v>2342.0228378433703</v>
      </c>
      <c r="J38" s="104">
        <f t="shared" si="0"/>
        <v>16517024.220925113</v>
      </c>
      <c r="K38" s="67">
        <f t="shared" si="2"/>
        <v>2.2379352748619018E+49</v>
      </c>
    </row>
    <row r="39" spans="1:11">
      <c r="A39" s="1">
        <v>35</v>
      </c>
      <c r="B39" s="2">
        <v>1.6600805E+52</v>
      </c>
      <c r="C39" s="1">
        <v>2.0319999999999898</v>
      </c>
      <c r="D39" s="1">
        <v>1960</v>
      </c>
      <c r="E39" s="1">
        <v>2.9981999999993598</v>
      </c>
      <c r="F39" s="1">
        <v>1.0000000000000001E-5</v>
      </c>
      <c r="G39" s="2">
        <v>3320000000</v>
      </c>
      <c r="H39" s="106"/>
      <c r="I39" s="103">
        <f t="shared" si="1"/>
        <v>2352.2824433593191</v>
      </c>
      <c r="J39" s="104">
        <f t="shared" si="0"/>
        <v>15419864.053852709</v>
      </c>
      <c r="K39" s="67">
        <f t="shared" si="2"/>
        <v>2.1453007843541565E+49</v>
      </c>
    </row>
    <row r="40" spans="1:11">
      <c r="A40" s="1">
        <v>36</v>
      </c>
      <c r="B40" s="2">
        <v>1.6700810000000001E+52</v>
      </c>
      <c r="C40" s="1">
        <v>2.0439999999999898</v>
      </c>
      <c r="D40" s="1">
        <v>1970</v>
      </c>
      <c r="E40" s="1">
        <v>3.0092999999993499</v>
      </c>
      <c r="F40" s="1">
        <v>1.0000000000000001E-5</v>
      </c>
      <c r="G40" s="2">
        <v>3340000000</v>
      </c>
      <c r="H40" s="106"/>
      <c r="I40" s="103">
        <f t="shared" si="1"/>
        <v>2362.5397521222076</v>
      </c>
      <c r="J40" s="104">
        <f t="shared" si="0"/>
        <v>14402627.214597743</v>
      </c>
      <c r="K40" s="67">
        <f t="shared" si="2"/>
        <v>2.0562578637686721E+49</v>
      </c>
    </row>
    <row r="41" spans="1:11">
      <c r="A41" s="1">
        <v>37</v>
      </c>
      <c r="B41" s="2">
        <v>1.6800815E+52</v>
      </c>
      <c r="C41" s="1">
        <v>2.0559999999999898</v>
      </c>
      <c r="D41" s="1">
        <v>1980</v>
      </c>
      <c r="E41" s="1">
        <v>3.0203999999993401</v>
      </c>
      <c r="F41" s="1">
        <v>1.0000000000000001E-5</v>
      </c>
      <c r="G41" s="2">
        <v>3360000000</v>
      </c>
      <c r="H41" s="106"/>
      <c r="I41" s="103">
        <f t="shared" si="1"/>
        <v>2372.7947944771699</v>
      </c>
      <c r="J41" s="104">
        <f t="shared" si="0"/>
        <v>13459007.314305143</v>
      </c>
      <c r="K41" s="67">
        <f t="shared" si="2"/>
        <v>1.9706794759908802E+49</v>
      </c>
    </row>
    <row r="42" spans="1:11">
      <c r="A42" s="1">
        <v>38</v>
      </c>
      <c r="B42" s="2">
        <v>1.6900820000000001E+52</v>
      </c>
      <c r="C42" s="1">
        <v>2.0679999999999898</v>
      </c>
      <c r="D42" s="1">
        <v>1990</v>
      </c>
      <c r="E42" s="1">
        <v>3.0314999999993302</v>
      </c>
      <c r="F42" s="1">
        <v>1.0000000000000001E-5</v>
      </c>
      <c r="G42" s="2">
        <v>3380000000</v>
      </c>
      <c r="H42" s="106"/>
      <c r="I42" s="103">
        <f t="shared" si="1"/>
        <v>2383.0476002371174</v>
      </c>
      <c r="J42" s="104">
        <f t="shared" si="0"/>
        <v>12583232.006852096</v>
      </c>
      <c r="K42" s="67">
        <f t="shared" si="2"/>
        <v>1.8884424631733985E+49</v>
      </c>
    </row>
    <row r="43" spans="1:11">
      <c r="A43" s="1">
        <v>39</v>
      </c>
      <c r="B43" s="2">
        <v>1.7000825E+52</v>
      </c>
      <c r="C43" s="1">
        <v>2.0799999999999899</v>
      </c>
      <c r="D43" s="1">
        <v>2000</v>
      </c>
      <c r="E43" s="1">
        <v>3.0425999999993198</v>
      </c>
      <c r="F43" s="1">
        <v>1.0000000000000001E-5</v>
      </c>
      <c r="G43" s="2">
        <v>3400000000</v>
      </c>
      <c r="H43" s="106"/>
      <c r="I43" s="103">
        <f t="shared" si="1"/>
        <v>2393.2981986943555</v>
      </c>
      <c r="J43" s="104">
        <f t="shared" si="0"/>
        <v>11770014.803142646</v>
      </c>
      <c r="K43" s="67">
        <f t="shared" si="2"/>
        <v>1.8094274598338317E+49</v>
      </c>
    </row>
    <row r="44" spans="1:11">
      <c r="A44" s="1">
        <v>40</v>
      </c>
      <c r="B44" s="2">
        <v>1.7100830000000001E+52</v>
      </c>
      <c r="C44" s="1">
        <v>2.0919999999999899</v>
      </c>
      <c r="D44" s="1">
        <v>2010</v>
      </c>
      <c r="E44" s="1">
        <v>3.05369999999931</v>
      </c>
      <c r="F44" s="1">
        <v>1.0000000000000001E-5</v>
      </c>
      <c r="G44" s="2">
        <v>3420000000</v>
      </c>
      <c r="H44" s="106"/>
      <c r="I44" s="103">
        <f t="shared" si="1"/>
        <v>2403.5466186318954</v>
      </c>
      <c r="J44" s="104">
        <f t="shared" si="0"/>
        <v>11014511.490853539</v>
      </c>
      <c r="K44" s="67">
        <f t="shared" si="2"/>
        <v>1.7335188061469371E+49</v>
      </c>
    </row>
    <row r="45" spans="1:11">
      <c r="A45" s="1">
        <v>41</v>
      </c>
      <c r="B45" s="2">
        <v>1.7200835E+52</v>
      </c>
      <c r="C45" s="1">
        <v>2.1039999999999899</v>
      </c>
      <c r="D45" s="1">
        <v>2020</v>
      </c>
      <c r="E45" s="1">
        <v>3.0647999999993001</v>
      </c>
      <c r="F45" s="1">
        <v>1.0000000000000001E-5</v>
      </c>
      <c r="G45" s="2">
        <v>3440000000</v>
      </c>
      <c r="H45" s="106"/>
      <c r="I45" s="103">
        <f t="shared" si="1"/>
        <v>2413.7928883344807</v>
      </c>
      <c r="J45" s="104">
        <f t="shared" si="0"/>
        <v>10312280.695606412</v>
      </c>
      <c r="K45" s="67">
        <f t="shared" si="2"/>
        <v>1.6606044615565596E+49</v>
      </c>
    </row>
    <row r="46" spans="1:11">
      <c r="A46" s="1">
        <v>42</v>
      </c>
      <c r="B46" s="2">
        <v>1.73008399999999E+52</v>
      </c>
      <c r="C46" s="1">
        <v>2.1159999999999899</v>
      </c>
      <c r="D46" s="1">
        <v>2030</v>
      </c>
      <c r="E46" s="1">
        <v>3.0758999999992902</v>
      </c>
      <c r="F46" s="1">
        <v>1.0000000000000001E-5</v>
      </c>
      <c r="G46" s="2">
        <v>3460000000</v>
      </c>
      <c r="H46" s="106"/>
      <c r="I46" s="103">
        <f t="shared" si="1"/>
        <v>2424.0370355993164</v>
      </c>
      <c r="J46" s="104">
        <f t="shared" si="0"/>
        <v>9659248.1686247047</v>
      </c>
      <c r="K46" s="67">
        <f t="shared" si="2"/>
        <v>1.5905759188234037E+49</v>
      </c>
    </row>
    <row r="47" spans="1:11">
      <c r="A47" s="1">
        <v>43</v>
      </c>
      <c r="B47" s="2">
        <v>1.7400844999999901E+52</v>
      </c>
      <c r="C47" s="1">
        <v>2.1279999999999899</v>
      </c>
      <c r="D47" s="1">
        <v>2040</v>
      </c>
      <c r="E47" s="1">
        <v>3.0869999999992799</v>
      </c>
      <c r="F47" s="1">
        <v>1.0000000000000001E-5</v>
      </c>
      <c r="G47" s="2">
        <v>3480000000</v>
      </c>
      <c r="H47" s="106"/>
      <c r="I47" s="103">
        <f t="shared" si="1"/>
        <v>2434.2790877465341</v>
      </c>
      <c r="J47" s="104">
        <f t="shared" si="0"/>
        <v>9051674.4295912292</v>
      </c>
      <c r="K47" s="67">
        <f t="shared" si="2"/>
        <v>1.5233281186161376E+49</v>
      </c>
    </row>
    <row r="48" spans="1:11">
      <c r="A48" s="1">
        <v>44</v>
      </c>
      <c r="B48" s="2">
        <v>1.75008499999999E+52</v>
      </c>
      <c r="C48" s="1">
        <v>2.1399999999999899</v>
      </c>
      <c r="D48" s="1">
        <v>2050</v>
      </c>
      <c r="E48" s="1">
        <v>3.09809999999927</v>
      </c>
      <c r="F48" s="1">
        <v>1.0000000000000001E-5</v>
      </c>
      <c r="G48" s="2">
        <v>3500000000</v>
      </c>
      <c r="H48" s="106"/>
      <c r="I48" s="103">
        <f t="shared" si="1"/>
        <v>2444.5190716293782</v>
      </c>
      <c r="J48" s="104">
        <f t="shared" si="0"/>
        <v>8486125.432267921</v>
      </c>
      <c r="K48" s="67">
        <f t="shared" si="2"/>
        <v>1.4587593647445696E+49</v>
      </c>
    </row>
    <row r="49" spans="1:11">
      <c r="A49" s="1">
        <v>45</v>
      </c>
      <c r="B49" s="2">
        <v>1.7600854999999901E+52</v>
      </c>
      <c r="C49" s="1">
        <v>2.1519999999999899</v>
      </c>
      <c r="D49" s="1">
        <v>2060</v>
      </c>
      <c r="E49" s="1">
        <v>3.1091999999992601</v>
      </c>
      <c r="F49" s="1">
        <v>1.0000000000000001E-5</v>
      </c>
      <c r="G49" s="2">
        <v>3520000000</v>
      </c>
      <c r="H49" s="106"/>
      <c r="I49" s="103">
        <f t="shared" si="1"/>
        <v>2454.7570136441409</v>
      </c>
      <c r="J49" s="104">
        <f t="shared" si="0"/>
        <v>7959445.95503591</v>
      </c>
      <c r="K49" s="67">
        <f t="shared" si="2"/>
        <v>1.3967712401262206E+49</v>
      </c>
    </row>
    <row r="50" spans="1:11">
      <c r="A50" s="1">
        <v>46</v>
      </c>
      <c r="B50" s="2">
        <v>1.77008599999999E+52</v>
      </c>
      <c r="C50" s="1">
        <v>2.1639999999999899</v>
      </c>
      <c r="D50" s="1">
        <v>2070</v>
      </c>
      <c r="E50" s="1">
        <v>3.1202999999992498</v>
      </c>
      <c r="F50" s="1">
        <v>1.0000000000000001E-5</v>
      </c>
      <c r="G50" s="2">
        <v>3540000000</v>
      </c>
      <c r="H50" s="106"/>
      <c r="I50" s="103">
        <f t="shared" si="1"/>
        <v>2464.9929397398378</v>
      </c>
      <c r="J50" s="104">
        <f t="shared" si="0"/>
        <v>7468735.4493389046</v>
      </c>
      <c r="K50" s="67">
        <f t="shared" si="2"/>
        <v>1.3372685235695225E+49</v>
      </c>
    </row>
    <row r="51" spans="1:11">
      <c r="A51" s="1">
        <v>47</v>
      </c>
      <c r="B51" s="2">
        <v>1.7800864999999901E+52</v>
      </c>
      <c r="C51" s="1">
        <v>2.1759999999999899</v>
      </c>
      <c r="D51" s="1">
        <v>2080</v>
      </c>
      <c r="E51" s="1">
        <v>3.1313999999992399</v>
      </c>
      <c r="F51" s="1">
        <v>1.0000000000000001E-5</v>
      </c>
      <c r="G51" s="2">
        <v>3560000000</v>
      </c>
      <c r="H51" s="106"/>
      <c r="I51" s="103">
        <f t="shared" si="1"/>
        <v>2475.2268754276433</v>
      </c>
      <c r="J51" s="104">
        <f t="shared" si="0"/>
        <v>7011326.1065022619</v>
      </c>
      <c r="K51" s="67">
        <f t="shared" si="2"/>
        <v>1.2801591074500174E+49</v>
      </c>
    </row>
    <row r="52" spans="1:11">
      <c r="A52" s="1">
        <v>48</v>
      </c>
      <c r="B52" s="2">
        <v>1.79008699999999E+52</v>
      </c>
      <c r="C52" s="1">
        <v>2.18799999999999</v>
      </c>
      <c r="D52" s="1">
        <v>2090</v>
      </c>
      <c r="E52" s="1">
        <v>3.1424999999992398</v>
      </c>
      <c r="F52" s="1">
        <v>1.0000000000000001E-5</v>
      </c>
      <c r="G52" s="2">
        <v>3580000000</v>
      </c>
      <c r="H52" s="106"/>
      <c r="I52" s="103">
        <f t="shared" si="1"/>
        <v>2485.4588457900854</v>
      </c>
      <c r="J52" s="104">
        <f t="shared" si="0"/>
        <v>6584762.927922491</v>
      </c>
      <c r="K52" s="67">
        <f t="shared" si="2"/>
        <v>1.2253539163489799E+49</v>
      </c>
    </row>
    <row r="53" spans="1:11">
      <c r="A53" s="1">
        <v>49</v>
      </c>
      <c r="B53" s="2">
        <v>1.8000874999999901E+52</v>
      </c>
      <c r="C53" s="1">
        <v>2.19999999999999</v>
      </c>
      <c r="D53" s="1">
        <v>2100</v>
      </c>
      <c r="E53" s="1">
        <v>3.1535999999992299</v>
      </c>
      <c r="F53" s="1">
        <v>1.0000000000000001E-5</v>
      </c>
      <c r="G53" s="2">
        <v>3600000000</v>
      </c>
      <c r="H53" s="106"/>
      <c r="I53" s="103">
        <f t="shared" si="1"/>
        <v>2495.6888754900151</v>
      </c>
      <c r="J53" s="104">
        <f t="shared" si="0"/>
        <v>6186785.6055223811</v>
      </c>
      <c r="K53" s="67">
        <f t="shared" si="2"/>
        <v>1.1727668267176252E+49</v>
      </c>
    </row>
    <row r="54" spans="1:11">
      <c r="A54" s="1">
        <v>50</v>
      </c>
      <c r="B54" s="2">
        <v>1.81008799999999E+52</v>
      </c>
      <c r="C54" s="1">
        <v>2.21199999999999</v>
      </c>
      <c r="D54" s="1">
        <v>2110</v>
      </c>
      <c r="E54" s="1">
        <v>3.16469999999922</v>
      </c>
      <c r="F54" s="1">
        <v>1.0000000000000001E-5</v>
      </c>
      <c r="G54" s="2">
        <v>3620000000</v>
      </c>
      <c r="H54" s="106"/>
      <c r="I54" s="103">
        <f t="shared" si="1"/>
        <v>2505.9169887793405</v>
      </c>
      <c r="J54" s="104">
        <f t="shared" si="0"/>
        <v>5815312.0389199639</v>
      </c>
      <c r="K54" s="67">
        <f t="shared" si="2"/>
        <v>1.12231458762336E+49</v>
      </c>
    </row>
    <row r="55" spans="1:11">
      <c r="A55" s="1">
        <v>51</v>
      </c>
      <c r="B55" s="2">
        <v>1.8200884999999901E+52</v>
      </c>
      <c r="C55" s="1">
        <v>2.22399999999999</v>
      </c>
      <c r="D55" s="1">
        <v>2120</v>
      </c>
      <c r="E55" s="1">
        <v>3.1757999999992101</v>
      </c>
      <c r="F55" s="1">
        <v>1.0000000000000001E-5</v>
      </c>
      <c r="G55" s="2">
        <v>3640000000</v>
      </c>
      <c r="H55" s="106"/>
      <c r="I55" s="103">
        <f t="shared" si="1"/>
        <v>2516.1432095075538</v>
      </c>
      <c r="J55" s="104">
        <f t="shared" si="0"/>
        <v>5468423.3332582563</v>
      </c>
      <c r="K55" s="67">
        <f t="shared" si="2"/>
        <v>1.0739167426297323E+49</v>
      </c>
    </row>
    <row r="56" spans="1:11">
      <c r="A56" s="1">
        <v>52</v>
      </c>
      <c r="B56" s="2">
        <v>1.8300889999999899E+52</v>
      </c>
      <c r="C56" s="1">
        <v>2.23599999999999</v>
      </c>
      <c r="D56" s="1">
        <v>2130</v>
      </c>
      <c r="E56" s="1">
        <v>3.1868999999991998</v>
      </c>
      <c r="F56" s="1">
        <v>1.0000000000000001E-5</v>
      </c>
      <c r="G56" s="2">
        <v>3660000000</v>
      </c>
      <c r="H56" s="106"/>
      <c r="I56" s="103">
        <f t="shared" si="1"/>
        <v>2526.3675611300446</v>
      </c>
      <c r="J56" s="104">
        <f t="shared" si="0"/>
        <v>5144350.1372721167</v>
      </c>
      <c r="K56" s="67">
        <f t="shared" si="2"/>
        <v>1.0274955528553009E+49</v>
      </c>
    </row>
    <row r="57" spans="1:11">
      <c r="A57" s="1">
        <v>53</v>
      </c>
      <c r="B57" s="2">
        <v>1.8400894999999901E+52</v>
      </c>
      <c r="C57" s="1">
        <v>2.24799999999999</v>
      </c>
      <c r="D57" s="1">
        <v>2140</v>
      </c>
      <c r="E57" s="1">
        <v>3.1979999999991899</v>
      </c>
      <c r="F57" s="1">
        <v>1.0000000000000001E-5</v>
      </c>
      <c r="G57" s="2">
        <v>3680000000</v>
      </c>
      <c r="H57" s="106"/>
      <c r="I57" s="103">
        <f t="shared" si="1"/>
        <v>2536.590066716205</v>
      </c>
      <c r="J57" s="104">
        <f t="shared" si="0"/>
        <v>4841460.1951743923</v>
      </c>
      <c r="K57" s="67">
        <f t="shared" si="2"/>
        <v>9.8297592125198934E+48</v>
      </c>
    </row>
    <row r="58" spans="1:11">
      <c r="A58" s="1">
        <v>54</v>
      </c>
      <c r="B58" s="2">
        <v>1.8500899999999899E+52</v>
      </c>
      <c r="C58" s="1">
        <v>2.25999999999999</v>
      </c>
      <c r="D58" s="1">
        <v>2150</v>
      </c>
      <c r="E58" s="1">
        <v>3.2090999999991801</v>
      </c>
      <c r="F58" s="1">
        <v>1.0000000000000001E-5</v>
      </c>
      <c r="G58" s="2">
        <v>3700000000</v>
      </c>
      <c r="H58" s="106"/>
      <c r="I58" s="103">
        <f t="shared" si="1"/>
        <v>2546.8107489573385</v>
      </c>
      <c r="J58" s="104">
        <f t="shared" si="0"/>
        <v>4558246.998479398</v>
      </c>
      <c r="K58" s="67">
        <f t="shared" si="2"/>
        <v>9.4028531813853093E+48</v>
      </c>
    </row>
    <row r="59" spans="1:11">
      <c r="A59" s="1">
        <v>55</v>
      </c>
      <c r="B59" s="2">
        <v>1.8600904999999901E+52</v>
      </c>
      <c r="C59" s="1">
        <v>2.27199999999999</v>
      </c>
      <c r="D59" s="1">
        <v>2160</v>
      </c>
      <c r="E59" s="1">
        <v>3.2201999999991702</v>
      </c>
      <c r="F59" s="1">
        <v>1.0000000000000001E-5</v>
      </c>
      <c r="G59" s="2">
        <v>3720000000</v>
      </c>
      <c r="H59" s="106"/>
      <c r="I59" s="103">
        <f t="shared" si="1"/>
        <v>2557.0296301743733</v>
      </c>
      <c r="J59" s="104">
        <f t="shared" si="0"/>
        <v>4293319.4351160731</v>
      </c>
      <c r="K59" s="67">
        <f t="shared" si="2"/>
        <v>8.9935370801994525E+48</v>
      </c>
    </row>
    <row r="60" spans="1:11">
      <c r="A60" s="1">
        <v>56</v>
      </c>
      <c r="B60" s="2">
        <v>1.8700909999999899E+52</v>
      </c>
      <c r="C60" s="1">
        <v>2.28399999999999</v>
      </c>
      <c r="D60" s="1">
        <v>2170</v>
      </c>
      <c r="E60" s="1">
        <v>3.2312999999991598</v>
      </c>
      <c r="F60" s="1">
        <v>1.0000000000000001E-5</v>
      </c>
      <c r="G60" s="2">
        <v>3740000000</v>
      </c>
      <c r="H60" s="106"/>
      <c r="I60" s="103">
        <f t="shared" si="1"/>
        <v>2567.2467323253886</v>
      </c>
      <c r="J60" s="104">
        <f t="shared" si="0"/>
        <v>4045392.3432572749</v>
      </c>
      <c r="K60" s="67">
        <f t="shared" si="2"/>
        <v>8.601134777196993E+48</v>
      </c>
    </row>
    <row r="61" spans="1:11">
      <c r="A61" s="1">
        <v>57</v>
      </c>
      <c r="B61" s="2">
        <v>1.8800914999999901E+52</v>
      </c>
      <c r="C61" s="1">
        <v>2.29599999999999</v>
      </c>
      <c r="D61" s="1">
        <v>2180</v>
      </c>
      <c r="E61" s="1">
        <v>3.24239999999915</v>
      </c>
      <c r="F61" s="1">
        <v>1.0000000000000001E-5</v>
      </c>
      <c r="G61" s="2">
        <v>3760000000</v>
      </c>
      <c r="H61" s="106"/>
      <c r="I61" s="103">
        <f t="shared" si="1"/>
        <v>2577.4620770129586</v>
      </c>
      <c r="J61" s="104">
        <f t="shared" si="0"/>
        <v>3813277.8863293971</v>
      </c>
      <c r="K61" s="67">
        <f t="shared" si="2"/>
        <v>8.224993658471602E+48</v>
      </c>
    </row>
    <row r="62" spans="1:11">
      <c r="A62" s="1">
        <v>58</v>
      </c>
      <c r="B62" s="2">
        <v>1.8900919999999899E+52</v>
      </c>
      <c r="C62" s="1">
        <v>2.3079999999999901</v>
      </c>
      <c r="D62" s="1">
        <v>2190</v>
      </c>
      <c r="E62" s="1">
        <v>3.2534999999991401</v>
      </c>
      <c r="F62" s="1">
        <v>1.0000000000000001E-5</v>
      </c>
      <c r="G62" s="2">
        <v>3780000000</v>
      </c>
      <c r="H62" s="106"/>
      <c r="I62" s="103">
        <f t="shared" si="1"/>
        <v>2587.6756854913169</v>
      </c>
      <c r="J62" s="104">
        <f t="shared" si="0"/>
        <v>3595877.6737794653</v>
      </c>
      <c r="K62" s="67">
        <f t="shared" si="2"/>
        <v>7.8644839361908417E+48</v>
      </c>
    </row>
    <row r="63" spans="1:11">
      <c r="A63" s="1">
        <v>59</v>
      </c>
      <c r="B63" s="2">
        <v>1.90009249999999E+52</v>
      </c>
      <c r="C63" s="1">
        <v>2.3199999999999901</v>
      </c>
      <c r="D63" s="1">
        <v>2200</v>
      </c>
      <c r="E63" s="1">
        <v>3.2645999999991302</v>
      </c>
      <c r="F63" s="1">
        <v>1.0000000000000001E-5</v>
      </c>
      <c r="G63" s="2">
        <v>3800000000</v>
      </c>
      <c r="H63" s="106"/>
      <c r="I63" s="103">
        <f t="shared" si="1"/>
        <v>2597.8875786733511</v>
      </c>
      <c r="J63" s="104">
        <f t="shared" si="0"/>
        <v>3392175.5594644416</v>
      </c>
      <c r="K63" s="67">
        <f t="shared" si="2"/>
        <v>7.5189979705032819E+48</v>
      </c>
    </row>
    <row r="64" spans="1:11">
      <c r="A64" s="1">
        <v>60</v>
      </c>
      <c r="B64" s="2">
        <v>1.9100929999999899E+52</v>
      </c>
      <c r="C64" s="1">
        <v>2.3319999999999901</v>
      </c>
      <c r="D64" s="1">
        <v>2210</v>
      </c>
      <c r="E64" s="1">
        <v>3.2756999999991199</v>
      </c>
      <c r="F64" s="1">
        <v>1.0000000000000001E-5</v>
      </c>
      <c r="G64" s="2">
        <v>3820000000</v>
      </c>
      <c r="H64" s="106"/>
      <c r="I64" s="103">
        <f t="shared" si="1"/>
        <v>2608.0977771374251</v>
      </c>
      <c r="J64" s="104">
        <f t="shared" si="0"/>
        <v>3201231.0560765942</v>
      </c>
      <c r="K64" s="67">
        <f t="shared" si="2"/>
        <v>7.1879496052561028E+48</v>
      </c>
    </row>
    <row r="65" spans="1:11">
      <c r="A65" s="1">
        <v>61</v>
      </c>
      <c r="B65" s="2">
        <v>1.92009349999999E+52</v>
      </c>
      <c r="C65" s="1">
        <v>2.3439999999999901</v>
      </c>
      <c r="D65" s="1">
        <v>2220</v>
      </c>
      <c r="E65" s="1">
        <v>3.28679999999911</v>
      </c>
      <c r="F65" s="1">
        <v>1.0000000000000001E-5</v>
      </c>
      <c r="G65" s="2">
        <v>3840000000</v>
      </c>
      <c r="H65" s="106"/>
      <c r="I65" s="103">
        <f t="shared" si="1"/>
        <v>2618.3063011340441</v>
      </c>
      <c r="J65" s="104">
        <f t="shared" si="0"/>
        <v>3022173.3099087169</v>
      </c>
      <c r="K65" s="67">
        <f t="shared" si="2"/>
        <v>6.870773517610083E+48</v>
      </c>
    </row>
    <row r="66" spans="1:11">
      <c r="A66" s="1">
        <v>62</v>
      </c>
      <c r="B66" s="2">
        <v>1.9300939999999899E+52</v>
      </c>
      <c r="C66" s="1">
        <v>2.3559999999999901</v>
      </c>
      <c r="D66" s="1">
        <v>2230</v>
      </c>
      <c r="E66" s="1">
        <v>3.2978999999991001</v>
      </c>
      <c r="F66" s="1">
        <v>1.0000000000000001E-5</v>
      </c>
      <c r="G66" s="2">
        <v>3860000000</v>
      </c>
      <c r="H66" s="106"/>
      <c r="I66" s="103">
        <f t="shared" si="1"/>
        <v>2628.5131705923582</v>
      </c>
      <c r="J66" s="104">
        <f t="shared" si="0"/>
        <v>2854195.5855615102</v>
      </c>
      <c r="K66" s="67">
        <f t="shared" si="2"/>
        <v>6.5669245816094097E+48</v>
      </c>
    </row>
    <row r="67" spans="1:11">
      <c r="A67" s="1">
        <v>63</v>
      </c>
      <c r="B67" s="2">
        <v>1.94009449999999E+52</v>
      </c>
      <c r="C67" s="1">
        <v>2.3679999999999901</v>
      </c>
      <c r="D67" s="1">
        <v>2240</v>
      </c>
      <c r="E67" s="1">
        <v>3.3089999999990898</v>
      </c>
      <c r="F67" s="1">
        <v>1.0000000000000001E-5</v>
      </c>
      <c r="G67" s="2">
        <v>3880000000</v>
      </c>
      <c r="H67" s="106"/>
      <c r="I67" s="103">
        <f t="shared" si="1"/>
        <v>2638.7184051265085</v>
      </c>
      <c r="J67" s="104">
        <f t="shared" si="0"/>
        <v>2696550.214966367</v>
      </c>
      <c r="K67" s="67">
        <f t="shared" si="2"/>
        <v>6.2758772457366693E+48</v>
      </c>
    </row>
  </sheetData>
  <phoneticPr fontId="2" type="noConversion"/>
  <pageMargins left="0.75" right="0.75" top="1" bottom="1" header="0.5" footer="0.5"/>
  <headerFooter alignWithMargins="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sheet____2"/>
  <dimension ref="A1:H21"/>
  <sheetViews>
    <sheetView workbookViewId="0"/>
  </sheetViews>
  <sheetFormatPr defaultColWidth="8.796875" defaultRowHeight="12.75"/>
  <cols>
    <col min="1" max="1" width="6.33203125" customWidth="1"/>
    <col min="2" max="2" width="12" bestFit="1" customWidth="1"/>
    <col min="4" max="4" width="15.33203125" customWidth="1"/>
    <col min="5" max="5" width="10.796875" customWidth="1"/>
    <col min="6" max="6" width="12.33203125" bestFit="1" customWidth="1"/>
    <col min="7" max="7" width="13.33203125" bestFit="1" customWidth="1"/>
    <col min="8" max="8" width="13.1328125" bestFit="1" customWidth="1"/>
  </cols>
  <sheetData>
    <row r="1" spans="1:8">
      <c r="A1" t="s">
        <v>39</v>
      </c>
    </row>
    <row r="2" spans="1:8">
      <c r="A2" t="s">
        <v>30</v>
      </c>
    </row>
    <row r="3" spans="1:8" ht="13.15" thickBot="1"/>
    <row r="4" spans="1:8" ht="15.4" thickBot="1">
      <c r="A4" s="23" t="s">
        <v>31</v>
      </c>
      <c r="B4" s="24" t="s">
        <v>32</v>
      </c>
      <c r="C4" s="24" t="s">
        <v>33</v>
      </c>
      <c r="D4" s="24" t="s">
        <v>34</v>
      </c>
      <c r="E4" s="24" t="s">
        <v>35</v>
      </c>
      <c r="F4" s="24" t="s">
        <v>36</v>
      </c>
      <c r="G4" s="24" t="s">
        <v>37</v>
      </c>
      <c r="H4" s="25" t="s">
        <v>38</v>
      </c>
    </row>
    <row r="5" spans="1:8">
      <c r="A5" s="26">
        <v>0</v>
      </c>
      <c r="B5" s="27">
        <v>5</v>
      </c>
      <c r="C5" s="27">
        <f>(EXP(B5)-2-B5)^2</f>
        <v>19997.681567370644</v>
      </c>
      <c r="D5" s="27">
        <f>2*(EXP(B5)-2-B5)*(EXP(B5)-1)</f>
        <v>41692.321043972202</v>
      </c>
      <c r="E5" s="27">
        <f>2*(EXP(B5)-1)^2+2*(EXP(B5)-2-B5)*EXP(B5)</f>
        <v>85436.426315380493</v>
      </c>
      <c r="F5" s="27">
        <f>D5/E5</f>
        <v>0.48799233350501975</v>
      </c>
      <c r="G5" s="27">
        <f>F5</f>
        <v>0.48799233350501975</v>
      </c>
      <c r="H5" s="28"/>
    </row>
    <row r="6" spans="1:8">
      <c r="A6" s="4">
        <v>1</v>
      </c>
      <c r="B6" s="1">
        <f>B5-G5</f>
        <v>4.5120076664949806</v>
      </c>
      <c r="C6" s="29">
        <f t="shared" ref="C6:C21" si="0">(EXP(B6)-2-B6)^2</f>
        <v>7155.8969601010858</v>
      </c>
      <c r="D6" s="29">
        <f t="shared" ref="D6:D21" si="1">2*(EXP(B6)-2-B6)*(EXP(B6)-1)</f>
        <v>15244.343321950217</v>
      </c>
      <c r="E6" s="29">
        <f t="shared" ref="E6:E21" si="2">2*(EXP(B6)-1)^2+2*(EXP(B6)-2-B6)*EXP(B6)</f>
        <v>31651.185572471124</v>
      </c>
      <c r="F6" s="29">
        <f t="shared" ref="F6:F21" si="3">D6/E6</f>
        <v>0.48163577591889978</v>
      </c>
      <c r="G6" s="29">
        <f t="shared" ref="G6:G21" si="4">F6</f>
        <v>0.48163577591889978</v>
      </c>
      <c r="H6" s="5">
        <f>B6-B5</f>
        <v>-0.48799233350501936</v>
      </c>
    </row>
    <row r="7" spans="1:8">
      <c r="A7" s="4">
        <v>2</v>
      </c>
      <c r="B7" s="1">
        <f t="shared" ref="B7:B21" si="5">B6-G6</f>
        <v>4.030371890576081</v>
      </c>
      <c r="C7" s="29">
        <f t="shared" si="0"/>
        <v>2525.2098502490971</v>
      </c>
      <c r="D7" s="29">
        <f t="shared" si="1"/>
        <v>5555.9868260630383</v>
      </c>
      <c r="E7" s="29">
        <f t="shared" si="2"/>
        <v>11768.652992706404</v>
      </c>
      <c r="F7" s="29">
        <f t="shared" si="3"/>
        <v>0.4721004884336677</v>
      </c>
      <c r="G7" s="29">
        <f t="shared" si="4"/>
        <v>0.4721004884336677</v>
      </c>
      <c r="H7" s="5">
        <f t="shared" ref="H7:H21" si="6">B7-B6</f>
        <v>-0.48163577591889961</v>
      </c>
    </row>
    <row r="8" spans="1:8">
      <c r="A8" s="30">
        <v>3</v>
      </c>
      <c r="B8" s="1">
        <f t="shared" si="5"/>
        <v>3.5582714021424131</v>
      </c>
      <c r="C8" s="29">
        <f t="shared" si="0"/>
        <v>872.85947120699689</v>
      </c>
      <c r="D8" s="29">
        <f t="shared" si="1"/>
        <v>2015.0598627567408</v>
      </c>
      <c r="E8" s="29">
        <f t="shared" si="2"/>
        <v>4400.1047126477297</v>
      </c>
      <c r="F8" s="29">
        <f t="shared" si="3"/>
        <v>0.45795725200916726</v>
      </c>
      <c r="G8" s="29">
        <f t="shared" si="4"/>
        <v>0.45795725200916726</v>
      </c>
      <c r="H8" s="5">
        <f t="shared" si="6"/>
        <v>-0.47210048843366792</v>
      </c>
    </row>
    <row r="9" spans="1:8">
      <c r="A9" s="4">
        <v>4</v>
      </c>
      <c r="B9" s="1">
        <f t="shared" si="5"/>
        <v>3.1003141501332458</v>
      </c>
      <c r="C9" s="29">
        <f t="shared" si="0"/>
        <v>292.56774195981978</v>
      </c>
      <c r="D9" s="29">
        <f t="shared" si="1"/>
        <v>725.40404682406461</v>
      </c>
      <c r="E9" s="29">
        <f t="shared" si="2"/>
        <v>1658.9110322443944</v>
      </c>
      <c r="F9" s="29">
        <f t="shared" si="3"/>
        <v>0.43727724556912617</v>
      </c>
      <c r="G9" s="29">
        <f t="shared" si="4"/>
        <v>0.43727724556912617</v>
      </c>
      <c r="H9" s="5">
        <f t="shared" si="6"/>
        <v>-0.45795725200916726</v>
      </c>
    </row>
    <row r="10" spans="1:8">
      <c r="A10" s="4">
        <v>5</v>
      </c>
      <c r="B10" s="1">
        <f t="shared" si="5"/>
        <v>2.6630369045641196</v>
      </c>
      <c r="C10" s="29">
        <f t="shared" si="0"/>
        <v>93.639193531914572</v>
      </c>
      <c r="D10" s="29">
        <f t="shared" si="1"/>
        <v>258.17085935826509</v>
      </c>
      <c r="E10" s="29">
        <f t="shared" si="2"/>
        <v>633.42333904405564</v>
      </c>
      <c r="F10" s="29">
        <f t="shared" si="3"/>
        <v>0.4075802760092313</v>
      </c>
      <c r="G10" s="29">
        <f t="shared" si="4"/>
        <v>0.4075802760092313</v>
      </c>
      <c r="H10" s="5">
        <f t="shared" si="6"/>
        <v>-0.43727724556912628</v>
      </c>
    </row>
    <row r="11" spans="1:8">
      <c r="A11" s="30">
        <v>6</v>
      </c>
      <c r="B11" s="1">
        <f t="shared" si="5"/>
        <v>2.2554566285548883</v>
      </c>
      <c r="C11" s="29">
        <f t="shared" si="0"/>
        <v>27.922682588665623</v>
      </c>
      <c r="D11" s="29">
        <f t="shared" si="1"/>
        <v>90.250279380471554</v>
      </c>
      <c r="E11" s="29">
        <f t="shared" si="2"/>
        <v>246.66985221098358</v>
      </c>
      <c r="F11" s="29">
        <f t="shared" si="3"/>
        <v>0.36587478595997203</v>
      </c>
      <c r="G11" s="29">
        <f t="shared" si="4"/>
        <v>0.36587478595997203</v>
      </c>
      <c r="H11" s="5">
        <f t="shared" si="6"/>
        <v>-0.4075802760092313</v>
      </c>
    </row>
    <row r="12" spans="1:8">
      <c r="A12" s="4">
        <v>7</v>
      </c>
      <c r="B12" s="1">
        <f t="shared" si="5"/>
        <v>1.8895818425949162</v>
      </c>
      <c r="C12" s="29">
        <f t="shared" si="0"/>
        <v>7.4366352391368897</v>
      </c>
      <c r="D12" s="29">
        <f t="shared" si="1"/>
        <v>30.633162420424711</v>
      </c>
      <c r="E12" s="29">
        <f t="shared" si="2"/>
        <v>99.179622191215685</v>
      </c>
      <c r="F12" s="29">
        <f t="shared" si="3"/>
        <v>0.30886548812784126</v>
      </c>
      <c r="G12" s="29">
        <f t="shared" si="4"/>
        <v>0.30886548812784126</v>
      </c>
      <c r="H12" s="5">
        <f t="shared" si="6"/>
        <v>-0.36587478595997203</v>
      </c>
    </row>
    <row r="13" spans="1:8">
      <c r="A13" s="4">
        <v>8</v>
      </c>
      <c r="B13" s="1">
        <f t="shared" si="5"/>
        <v>1.580716354467075</v>
      </c>
      <c r="C13" s="29">
        <f t="shared" si="0"/>
        <v>1.6325647493469115</v>
      </c>
      <c r="D13" s="29">
        <f t="shared" si="1"/>
        <v>9.8599879292558814</v>
      </c>
      <c r="E13" s="29">
        <f t="shared" si="2"/>
        <v>42.190465237590068</v>
      </c>
      <c r="F13" s="29">
        <f t="shared" si="3"/>
        <v>0.23370180617186023</v>
      </c>
      <c r="G13" s="29">
        <f t="shared" si="4"/>
        <v>0.23370180617186023</v>
      </c>
      <c r="H13" s="5">
        <f t="shared" si="6"/>
        <v>-0.3088654881278412</v>
      </c>
    </row>
    <row r="14" spans="1:8">
      <c r="A14" s="30">
        <v>9</v>
      </c>
      <c r="B14" s="1">
        <f t="shared" si="5"/>
        <v>1.3470145482952147</v>
      </c>
      <c r="C14" s="29">
        <f t="shared" si="0"/>
        <v>0.2489131818949584</v>
      </c>
      <c r="D14" s="29">
        <f t="shared" si="1"/>
        <v>2.8397337997296583</v>
      </c>
      <c r="E14" s="29">
        <f t="shared" si="2"/>
        <v>20.036153611511693</v>
      </c>
      <c r="F14" s="29">
        <f t="shared" si="3"/>
        <v>0.1417304865389982</v>
      </c>
      <c r="G14" s="29">
        <f t="shared" si="4"/>
        <v>0.1417304865389982</v>
      </c>
      <c r="H14" s="5">
        <f t="shared" si="6"/>
        <v>-0.23370180617186032</v>
      </c>
    </row>
    <row r="15" spans="1:8">
      <c r="A15" s="4">
        <v>10</v>
      </c>
      <c r="B15" s="1">
        <f t="shared" si="5"/>
        <v>1.2052840617562166</v>
      </c>
      <c r="C15" s="29">
        <f t="shared" si="0"/>
        <v>1.7535850026161929E-2</v>
      </c>
      <c r="D15" s="29">
        <f t="shared" si="1"/>
        <v>0.61913234763694935</v>
      </c>
      <c r="E15" s="29">
        <f t="shared" si="2"/>
        <v>11.813726922112682</v>
      </c>
      <c r="F15" s="29">
        <f t="shared" si="3"/>
        <v>5.2407877016191276E-2</v>
      </c>
      <c r="G15" s="29">
        <f t="shared" si="4"/>
        <v>5.2407877016191276E-2</v>
      </c>
      <c r="H15" s="5">
        <f t="shared" si="6"/>
        <v>-0.14173048653899811</v>
      </c>
    </row>
    <row r="16" spans="1:8">
      <c r="A16" s="4">
        <v>11</v>
      </c>
      <c r="B16" s="1">
        <f t="shared" si="5"/>
        <v>1.1528761847400253</v>
      </c>
      <c r="C16" s="29">
        <f t="shared" si="0"/>
        <v>2.0774456349982338E-4</v>
      </c>
      <c r="D16" s="29">
        <f t="shared" si="1"/>
        <v>6.2475790893218794E-2</v>
      </c>
      <c r="E16" s="29">
        <f t="shared" si="2"/>
        <v>9.4855903106223192</v>
      </c>
      <c r="F16" s="29">
        <f t="shared" si="3"/>
        <v>6.586389338706318E-3</v>
      </c>
      <c r="G16" s="29">
        <f t="shared" si="4"/>
        <v>6.586389338706318E-3</v>
      </c>
      <c r="H16" s="5">
        <f t="shared" si="6"/>
        <v>-5.2407877016191318E-2</v>
      </c>
    </row>
    <row r="17" spans="1:8">
      <c r="A17" s="30">
        <v>12</v>
      </c>
      <c r="B17" s="1">
        <f t="shared" si="5"/>
        <v>1.1462897954013189</v>
      </c>
      <c r="C17" s="29">
        <f t="shared" si="0"/>
        <v>4.2966164131341645E-8</v>
      </c>
      <c r="D17" s="29">
        <f t="shared" si="1"/>
        <v>8.8986390044395092E-4</v>
      </c>
      <c r="E17" s="29">
        <f t="shared" si="2"/>
        <v>9.2162038430805815</v>
      </c>
      <c r="F17" s="29">
        <f t="shared" si="3"/>
        <v>9.6554277183446888E-5</v>
      </c>
      <c r="G17" s="29">
        <f t="shared" si="4"/>
        <v>9.6554277183446888E-5</v>
      </c>
      <c r="H17" s="5">
        <f t="shared" si="6"/>
        <v>-6.5863893387063666E-3</v>
      </c>
    </row>
    <row r="18" spans="1:8">
      <c r="A18" s="4">
        <v>13</v>
      </c>
      <c r="B18" s="1">
        <f t="shared" si="5"/>
        <v>1.1461932411241356</v>
      </c>
      <c r="C18" s="29">
        <f t="shared" si="0"/>
        <v>1.9364036845487359E-15</v>
      </c>
      <c r="D18" s="29">
        <f t="shared" si="1"/>
        <v>1.8888469863471395E-7</v>
      </c>
      <c r="E18" s="29">
        <f t="shared" si="2"/>
        <v>9.21229151115711</v>
      </c>
      <c r="F18" s="29">
        <f t="shared" si="3"/>
        <v>2.0503552064755393E-8</v>
      </c>
      <c r="G18" s="29">
        <f t="shared" si="4"/>
        <v>2.0503552064755393E-8</v>
      </c>
      <c r="H18" s="5">
        <f t="shared" si="6"/>
        <v>-9.6554277183358295E-5</v>
      </c>
    </row>
    <row r="19" spans="1:8">
      <c r="A19" s="4">
        <v>14</v>
      </c>
      <c r="B19" s="1">
        <f t="shared" si="5"/>
        <v>1.1461932206205836</v>
      </c>
      <c r="C19" s="29">
        <f t="shared" si="0"/>
        <v>3.9936083326813723E-30</v>
      </c>
      <c r="D19" s="29">
        <f t="shared" si="1"/>
        <v>8.5779112637786125E-15</v>
      </c>
      <c r="E19" s="29">
        <f t="shared" si="2"/>
        <v>9.2122906804755349</v>
      </c>
      <c r="F19" s="29">
        <f t="shared" si="3"/>
        <v>9.3113771170492681E-16</v>
      </c>
      <c r="G19" s="29">
        <f t="shared" si="4"/>
        <v>9.3113771170492681E-16</v>
      </c>
      <c r="H19" s="5">
        <f t="shared" si="6"/>
        <v>-2.0503551967365752E-8</v>
      </c>
    </row>
    <row r="20" spans="1:8">
      <c r="A20" s="30">
        <v>15</v>
      </c>
      <c r="B20" s="1">
        <f t="shared" si="5"/>
        <v>1.1461932206205827</v>
      </c>
      <c r="C20" s="29">
        <f t="shared" si="0"/>
        <v>4.9303806576313238E-32</v>
      </c>
      <c r="D20" s="29">
        <f t="shared" si="1"/>
        <v>9.5310125153095579E-16</v>
      </c>
      <c r="E20" s="29">
        <f t="shared" si="2"/>
        <v>9.2122906804755029</v>
      </c>
      <c r="F20" s="29">
        <f t="shared" si="3"/>
        <v>1.034597457449921E-16</v>
      </c>
      <c r="G20" s="29">
        <f t="shared" si="4"/>
        <v>1.034597457449921E-16</v>
      </c>
      <c r="H20" s="5">
        <f t="shared" si="6"/>
        <v>0</v>
      </c>
    </row>
    <row r="21" spans="1:8" ht="13.15" thickBot="1">
      <c r="A21" s="31">
        <v>16</v>
      </c>
      <c r="B21" s="6">
        <f t="shared" si="5"/>
        <v>1.1461932206205827</v>
      </c>
      <c r="C21" s="32">
        <f t="shared" si="0"/>
        <v>4.9303806576313238E-32</v>
      </c>
      <c r="D21" s="32">
        <f t="shared" si="1"/>
        <v>9.5310125153095579E-16</v>
      </c>
      <c r="E21" s="32">
        <f t="shared" si="2"/>
        <v>9.2122906804755029</v>
      </c>
      <c r="F21" s="32">
        <f t="shared" si="3"/>
        <v>1.034597457449921E-16</v>
      </c>
      <c r="G21" s="32">
        <f t="shared" si="4"/>
        <v>1.034597457449921E-16</v>
      </c>
      <c r="H21" s="7">
        <f t="shared" si="6"/>
        <v>0</v>
      </c>
    </row>
  </sheetData>
  <phoneticPr fontId="2" type="noConversion"/>
  <pageMargins left="0.75" right="0.75" top="1" bottom="1" header="0.5" footer="0.5"/>
  <pageSetup paperSize="9" orientation="portrait" horizontalDpi="200" verticalDpi="200"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____3"/>
  <dimension ref="A1:AX139"/>
  <sheetViews>
    <sheetView topLeftCell="A4" zoomScale="114" zoomScaleNormal="85" workbookViewId="0">
      <selection activeCell="I7" sqref="I7"/>
    </sheetView>
  </sheetViews>
  <sheetFormatPr defaultColWidth="8.796875" defaultRowHeight="12.75"/>
  <cols>
    <col min="1" max="1" width="4.796875" customWidth="1"/>
    <col min="2" max="2" width="14.6640625" customWidth="1"/>
    <col min="3" max="3" width="16" customWidth="1"/>
    <col min="4" max="4" width="14.6640625" customWidth="1"/>
    <col min="5" max="5" width="6.33203125" bestFit="1" customWidth="1"/>
    <col min="6" max="6" width="12" bestFit="1" customWidth="1"/>
    <col min="7" max="7" width="9" bestFit="1" customWidth="1"/>
    <col min="8" max="8" width="6.33203125" bestFit="1" customWidth="1"/>
    <col min="9" max="10" width="12.33203125" bestFit="1" customWidth="1"/>
  </cols>
  <sheetData>
    <row r="1" spans="1:12" ht="17.25">
      <c r="A1" s="3" t="s">
        <v>20</v>
      </c>
      <c r="J1">
        <v>10</v>
      </c>
    </row>
    <row r="2" spans="1:12">
      <c r="A2" s="1" t="s">
        <v>10</v>
      </c>
    </row>
    <row r="3" spans="1:12">
      <c r="A3" s="118" t="s">
        <v>24</v>
      </c>
    </row>
    <row r="4" spans="1:12" ht="15.4">
      <c r="A4" s="8"/>
      <c r="B4" s="69"/>
      <c r="C4" s="69"/>
      <c r="D4" s="69"/>
      <c r="E4" s="8"/>
      <c r="F4" s="69"/>
      <c r="G4" s="69"/>
      <c r="H4" s="69"/>
      <c r="I4" s="69"/>
      <c r="J4" s="69"/>
      <c r="L4">
        <v>1</v>
      </c>
    </row>
    <row r="5" spans="1:12" ht="30" customHeight="1" thickBot="1">
      <c r="A5" s="159" t="s">
        <v>53</v>
      </c>
      <c r="B5" s="159"/>
      <c r="C5" s="159"/>
      <c r="D5" s="159"/>
      <c r="E5" s="159" t="s">
        <v>54</v>
      </c>
      <c r="F5" s="159"/>
      <c r="G5" s="159"/>
      <c r="H5" s="159"/>
      <c r="I5" s="159"/>
      <c r="J5" s="159"/>
    </row>
    <row r="6" spans="1:12" ht="70.5" customHeight="1" thickBot="1">
      <c r="A6" s="93" t="s">
        <v>0</v>
      </c>
      <c r="B6" s="94" t="s">
        <v>46</v>
      </c>
      <c r="C6" s="94" t="s">
        <v>47</v>
      </c>
      <c r="D6" s="94" t="s">
        <v>48</v>
      </c>
      <c r="E6" s="94" t="s">
        <v>49</v>
      </c>
      <c r="F6" s="94" t="s">
        <v>50</v>
      </c>
      <c r="G6" s="94" t="s">
        <v>55</v>
      </c>
      <c r="H6" s="94" t="s">
        <v>51</v>
      </c>
      <c r="I6" s="94" t="s">
        <v>55</v>
      </c>
      <c r="J6" s="95" t="s">
        <v>56</v>
      </c>
    </row>
    <row r="7" spans="1:12" ht="13.5" thickBot="1">
      <c r="A7" s="30">
        <v>1</v>
      </c>
      <c r="B7" s="29">
        <f ca="1">IF(A7=sheet4!$A$7,sheet4!$B$7,B7)</f>
        <v>1.1602025019314641</v>
      </c>
      <c r="C7" s="29">
        <f ca="1">ABS($F$7-B7)</f>
        <v>2000.7711441597594</v>
      </c>
      <c r="D7" s="86"/>
      <c r="E7" s="87">
        <f>INDEX(H7:H27,L4)</f>
        <v>1</v>
      </c>
      <c r="F7" s="88">
        <f>sheet1!I5</f>
        <v>2001.9313466616909</v>
      </c>
      <c r="G7" s="89">
        <f ca="1">IF(sheet4!$K$7&lt;10,IF(sheet4!$K$7&gt;8,ABS((D14-D13)/D14),IF(sheet4!$K$7&gt;7,ABS((D13-D12)/D13),IF(sheet4!$K$7&gt;6,ABS((D12-D11)/D12),IF(sheet4!$K$7&gt;5,ABS((D11-D10)/D11),IF(sheet4!$K$7&gt;4,ABS((D10-D9)/D10),IF(sheet4!$K$7&gt;3,ABS((D9-D8)/D9),"Think: If k&lt;=3, then what it is equal SIGMA to?")))))),IF(sheet4!$K$7&gt;15,IF(sheet4!$K$7&gt;20,ABS((D26-D25)/D26),IF(sheet4!K7&gt;19,ABS((D25-D24)/D25),IF(sheet4!$K$7&gt;18,ABS((D24-D23)/D24),IF(sheet4!$K$7&gt;17,ABS((D23-D22)/D23),IF(sheet4!$K$7&gt;15,ABS((D21-D20)/D21)))))),IF(sheet4!$K$7&gt;14,ABS((D20-D19)/D20),IF(sheet4!$K$7&gt;13,ABS((D19-D18)/D19),IF(sheet4!$K$7&gt;12,ABS((D18-D17)/D18),IF(sheet4!$K$7&gt;11,ABS((D17-D16)/D17),IF(sheet4!$K$7&gt;10,ABS((D16-D15)/D16),ABS((D15-D14)/D15))))))))</f>
        <v>1.8838815933105603E-4</v>
      </c>
      <c r="H7" s="90">
        <v>1</v>
      </c>
      <c r="I7" s="91">
        <f ca="1">IF($E$7=H7,$G$7,I7)</f>
        <v>1.8838815933105603E-4</v>
      </c>
      <c r="J7" s="92">
        <f ca="1">MIN(I7:I27)</f>
        <v>1.3168957902995504E-5</v>
      </c>
    </row>
    <row r="8" spans="1:12">
      <c r="A8" s="4">
        <v>2</v>
      </c>
      <c r="B8" s="1">
        <f ca="1">IF(A8=sheet4!$A$7,sheet4!$B$7,B8)</f>
        <v>1.3460674601142013</v>
      </c>
      <c r="C8" s="1">
        <f t="shared" ref="C8:C26" ca="1" si="0">ABS($F$7-B8)</f>
        <v>2000.5852792015767</v>
      </c>
      <c r="D8" s="5">
        <f t="shared" ref="D8:D26" ca="1" si="1">C8/C7^$E$7</f>
        <v>0.99990710333926736</v>
      </c>
      <c r="H8" s="52">
        <v>1.05</v>
      </c>
      <c r="I8" s="5">
        <f t="shared" ref="I8:I27" ca="1" si="2">IF($E$7=H8,$G$7,I8)</f>
        <v>1.2997834785853849E-4</v>
      </c>
    </row>
    <row r="9" spans="1:12">
      <c r="A9" s="4">
        <v>3</v>
      </c>
      <c r="B9" s="1">
        <f ca="1">IF(A9=sheet4!$A$7,sheet4!$B$7,B9)</f>
        <v>1.5617048561876496</v>
      </c>
      <c r="C9" s="1">
        <f t="shared" ca="1" si="0"/>
        <v>2000.3696418055033</v>
      </c>
      <c r="D9" s="5">
        <f t="shared" ca="1" si="1"/>
        <v>0.99989221284475338</v>
      </c>
      <c r="H9" s="52">
        <v>1.1000000000000001</v>
      </c>
      <c r="I9" s="5">
        <f t="shared" ca="1" si="2"/>
        <v>7.1571947447257405E-5</v>
      </c>
    </row>
    <row r="10" spans="1:12">
      <c r="A10" s="4">
        <v>4</v>
      </c>
      <c r="B10" s="1">
        <f ca="1">IF(A10=sheet4!$A$7,sheet4!$B$7,B10)</f>
        <v>1.8118826215636263</v>
      </c>
      <c r="C10" s="1">
        <f t="shared" ca="1" si="0"/>
        <v>2000.1194640401272</v>
      </c>
      <c r="D10" s="5">
        <f t="shared" ca="1" si="1"/>
        <v>0.99987493423208007</v>
      </c>
      <c r="H10" s="52">
        <v>1.1499999999999999</v>
      </c>
      <c r="I10" s="5">
        <f t="shared" ca="1" si="2"/>
        <v>1.3168957902995504E-5</v>
      </c>
    </row>
    <row r="11" spans="1:12">
      <c r="A11" s="4">
        <v>5</v>
      </c>
      <c r="B11" s="1">
        <f ca="1">IF(A11=sheet4!$A$7,sheet4!$B$7,B11)</f>
        <v>2.1021318667071354</v>
      </c>
      <c r="C11" s="1">
        <f t="shared" ca="1" si="0"/>
        <v>1999.8292147949837</v>
      </c>
      <c r="D11" s="5">
        <f t="shared" ca="1" si="1"/>
        <v>0.99985488404549738</v>
      </c>
      <c r="H11" s="52">
        <v>1.2</v>
      </c>
      <c r="I11" s="5">
        <f t="shared" ca="1" si="2"/>
        <v>4.5230620978271658E-5</v>
      </c>
    </row>
    <row r="12" spans="1:12">
      <c r="A12" s="4">
        <v>6</v>
      </c>
      <c r="B12" s="1">
        <f ca="1">IF(A12=sheet4!$A$7,sheet4!$B$7,B12)</f>
        <v>2.4388689058719564</v>
      </c>
      <c r="C12" s="1">
        <f t="shared" ca="1" si="0"/>
        <v>1999.492477755819</v>
      </c>
      <c r="D12" s="5">
        <f t="shared" ca="1" si="1"/>
        <v>0.99983161710176371</v>
      </c>
      <c r="H12" s="52">
        <v>1.25</v>
      </c>
      <c r="I12" s="5">
        <f t="shared" ca="1" si="2"/>
        <v>1.0362678939172262E-4</v>
      </c>
    </row>
    <row r="13" spans="1:12">
      <c r="A13" s="4">
        <v>7</v>
      </c>
      <c r="B13" s="1">
        <f ca="1">IF(A13=sheet4!$A$7,sheet4!$B$7,B13)</f>
        <v>2.8295367460295013</v>
      </c>
      <c r="C13" s="1">
        <f t="shared" ca="1" si="0"/>
        <v>1999.1018099156613</v>
      </c>
      <c r="D13" s="5">
        <f t="shared" ca="1" si="1"/>
        <v>0.99980461649918473</v>
      </c>
      <c r="F13" s="117"/>
      <c r="H13" s="52">
        <v>1.3</v>
      </c>
      <c r="I13" s="5">
        <f t="shared" ca="1" si="2"/>
        <v>1.6201954754033938E-4</v>
      </c>
    </row>
    <row r="14" spans="1:12">
      <c r="A14" s="4">
        <v>8</v>
      </c>
      <c r="B14" s="1">
        <f ca="1">IF(A14=sheet4!$A$7,sheet4!$B$7,B14)</f>
        <v>3.2827691286063554</v>
      </c>
      <c r="C14" s="1">
        <f t="shared" ca="1" si="0"/>
        <v>1998.6485775330846</v>
      </c>
      <c r="D14" s="5">
        <f t="shared" ca="1" si="1"/>
        <v>0.99977328199077775</v>
      </c>
      <c r="H14" s="52">
        <v>1.35</v>
      </c>
      <c r="I14" s="5">
        <f t="shared" ca="1" si="2"/>
        <v>2.2040889562109539E-4</v>
      </c>
    </row>
    <row r="15" spans="1:12">
      <c r="A15" s="4">
        <v>9</v>
      </c>
      <c r="B15" s="1">
        <f ca="1">IF(A15=sheet4!$A$7,sheet4!$B$7,B15)</f>
        <v>3.8085806971210623</v>
      </c>
      <c r="C15" s="1">
        <f t="shared" ca="1" si="0"/>
        <v>1998.1227659645699</v>
      </c>
      <c r="D15" s="5">
        <f t="shared" ca="1" si="1"/>
        <v>0.99973691644723073</v>
      </c>
      <c r="H15" s="52">
        <v>1.4</v>
      </c>
      <c r="I15" s="5">
        <f t="shared" ca="1" si="2"/>
        <v>2.7879483383160154E-4</v>
      </c>
    </row>
    <row r="16" spans="1:12">
      <c r="A16" s="4">
        <v>10</v>
      </c>
      <c r="B16" s="1">
        <f ca="1">IF(A16=sheet4!$A$7,sheet4!$B$7,B16)</f>
        <v>4.4185874222960413</v>
      </c>
      <c r="C16" s="1">
        <f t="shared" ca="1" si="0"/>
        <v>1997.5127592393949</v>
      </c>
      <c r="D16" s="5">
        <f t="shared" ca="1" si="1"/>
        <v>0.99969471008710487</v>
      </c>
      <c r="H16" s="52">
        <v>1.45</v>
      </c>
      <c r="I16" s="5">
        <f t="shared" ca="1" si="2"/>
        <v>3.3717736237476721E-4</v>
      </c>
    </row>
    <row r="17" spans="1:38" ht="15.5" customHeight="1">
      <c r="A17" s="4">
        <v>11</v>
      </c>
      <c r="B17" s="1">
        <f ca="1">IF(A17=sheet4!$A$7,sheet4!$B$7,B17)</f>
        <v>5.1262620593119035</v>
      </c>
      <c r="C17" s="1">
        <f t="shared" ca="1" si="0"/>
        <v>1996.8050846023789</v>
      </c>
      <c r="D17" s="5">
        <f t="shared" ca="1" si="1"/>
        <v>0.99964572209426816</v>
      </c>
      <c r="H17" s="52">
        <v>1.5</v>
      </c>
      <c r="I17" s="5">
        <f t="shared" ca="1" si="2"/>
        <v>3.9555648144606539E-4</v>
      </c>
      <c r="M17" s="163" t="s">
        <v>92</v>
      </c>
      <c r="N17" s="163"/>
      <c r="O17" s="163"/>
      <c r="P17" s="163"/>
      <c r="Q17" s="163"/>
      <c r="R17" s="163"/>
      <c r="S17" s="163"/>
      <c r="T17" s="163"/>
      <c r="U17" s="163"/>
      <c r="V17" s="163"/>
      <c r="W17" s="163"/>
      <c r="X17" s="163"/>
      <c r="Y17" s="163"/>
    </row>
    <row r="18" spans="1:38" ht="13.05" customHeight="1">
      <c r="A18" s="4">
        <v>12</v>
      </c>
      <c r="B18" s="1">
        <f ca="1">IF(A18=sheet4!$A$7,sheet4!$B$7,B18)</f>
        <v>5.9472301514187933</v>
      </c>
      <c r="C18" s="1">
        <f t="shared" ca="1" si="0"/>
        <v>1995.9841165102721</v>
      </c>
      <c r="D18" s="5">
        <f t="shared" ca="1" si="1"/>
        <v>0.99958885917386864</v>
      </c>
      <c r="H18" s="52">
        <v>1.55</v>
      </c>
      <c r="I18" s="5">
        <f t="shared" ca="1" si="2"/>
        <v>4.5393219124802137E-4</v>
      </c>
      <c r="M18" s="163"/>
      <c r="N18" s="163"/>
      <c r="O18" s="163"/>
      <c r="P18" s="163"/>
      <c r="Q18" s="163"/>
      <c r="R18" s="163"/>
      <c r="S18" s="163"/>
      <c r="T18" s="163"/>
      <c r="U18" s="163"/>
      <c r="V18" s="163"/>
      <c r="W18" s="163"/>
      <c r="X18" s="163"/>
      <c r="Y18" s="163"/>
    </row>
    <row r="19" spans="1:38" ht="12.75" customHeight="1">
      <c r="A19" s="4">
        <v>13</v>
      </c>
      <c r="B19" s="1">
        <f ca="1">IF(A19=sheet4!$A$7,sheet4!$B$7,B19)</f>
        <v>6.8996129432701832</v>
      </c>
      <c r="C19" s="1">
        <f t="shared" ca="1" si="0"/>
        <v>1995.0317337184208</v>
      </c>
      <c r="D19" s="5">
        <f t="shared" ca="1" si="1"/>
        <v>0.99952285051570633</v>
      </c>
      <c r="H19" s="52">
        <v>1.6</v>
      </c>
      <c r="I19" s="5">
        <f t="shared" ca="1" si="2"/>
        <v>5.1230449197615057E-4</v>
      </c>
      <c r="M19" s="163"/>
      <c r="N19" s="163"/>
      <c r="O19" s="163"/>
      <c r="P19" s="163"/>
      <c r="Q19" s="163"/>
      <c r="R19" s="163"/>
      <c r="S19" s="163"/>
      <c r="T19" s="163"/>
      <c r="U19" s="163"/>
      <c r="V19" s="163"/>
      <c r="W19" s="163"/>
      <c r="X19" s="163"/>
      <c r="Y19" s="163"/>
      <c r="Z19" s="149"/>
      <c r="AA19" s="149"/>
      <c r="AB19" s="149"/>
      <c r="AC19" s="149"/>
      <c r="AD19" s="149"/>
      <c r="AE19" s="149"/>
      <c r="AF19" s="149"/>
      <c r="AG19" s="149"/>
      <c r="AH19" s="149"/>
      <c r="AI19" s="149"/>
      <c r="AJ19" s="149"/>
      <c r="AK19" s="149"/>
      <c r="AL19" s="149"/>
    </row>
    <row r="20" spans="1:38" ht="12.75" customHeight="1">
      <c r="A20" s="4">
        <v>14</v>
      </c>
      <c r="B20" s="1">
        <f ca="1">IF(A20=sheet4!$A$7,sheet4!$B$7,B20)</f>
        <v>8.0044245405374816</v>
      </c>
      <c r="C20" s="1">
        <f t="shared" ca="1" si="0"/>
        <v>1993.9269221211534</v>
      </c>
      <c r="D20" s="5">
        <f t="shared" ca="1" si="1"/>
        <v>0.99944621853447502</v>
      </c>
      <c r="H20" s="52">
        <v>1.65</v>
      </c>
      <c r="I20" s="5">
        <f t="shared" ca="1" si="2"/>
        <v>5.7067338383309774E-4</v>
      </c>
      <c r="M20" s="163"/>
      <c r="N20" s="163"/>
      <c r="O20" s="163"/>
      <c r="P20" s="163"/>
      <c r="Q20" s="163"/>
      <c r="R20" s="163"/>
      <c r="S20" s="163"/>
      <c r="T20" s="163"/>
      <c r="U20" s="163"/>
      <c r="V20" s="163"/>
      <c r="W20" s="163"/>
      <c r="X20" s="163"/>
      <c r="Y20" s="163"/>
      <c r="Z20" s="149"/>
      <c r="AA20" s="149"/>
      <c r="AB20" s="149"/>
      <c r="AC20" s="149"/>
      <c r="AD20" s="149"/>
      <c r="AE20" s="149"/>
      <c r="AF20" s="149"/>
      <c r="AG20" s="149"/>
      <c r="AH20" s="149"/>
      <c r="AI20" s="149"/>
      <c r="AJ20" s="149"/>
      <c r="AK20" s="149"/>
      <c r="AL20" s="149"/>
    </row>
    <row r="21" spans="1:38" ht="12.75" customHeight="1">
      <c r="A21" s="4">
        <v>15</v>
      </c>
      <c r="B21" s="1">
        <f ca="1">IF(A21=sheet4!$A$7,sheet4!$B$7,B21)</f>
        <v>9.2860317652440827</v>
      </c>
      <c r="C21" s="1">
        <f t="shared" ca="1" si="0"/>
        <v>1992.6453148964467</v>
      </c>
      <c r="D21" s="5">
        <f t="shared" ca="1" si="1"/>
        <v>0.99935724463595521</v>
      </c>
      <c r="G21" t="s">
        <v>88</v>
      </c>
      <c r="H21" s="52">
        <v>1.7</v>
      </c>
      <c r="I21" s="5">
        <f t="shared" ca="1" si="2"/>
        <v>6.2903886701824025E-4</v>
      </c>
      <c r="M21" s="163"/>
      <c r="N21" s="163"/>
      <c r="O21" s="163"/>
      <c r="P21" s="163"/>
      <c r="Q21" s="163"/>
      <c r="R21" s="163"/>
      <c r="S21" s="163"/>
      <c r="T21" s="163"/>
      <c r="U21" s="163"/>
      <c r="V21" s="163"/>
      <c r="W21" s="163"/>
      <c r="X21" s="163"/>
      <c r="Y21" s="163"/>
      <c r="Z21" s="149"/>
      <c r="AA21" s="149"/>
      <c r="AB21" s="149"/>
      <c r="AC21" s="149"/>
      <c r="AD21" s="149"/>
      <c r="AE21" s="149"/>
      <c r="AF21" s="149"/>
      <c r="AG21" s="149"/>
      <c r="AH21" s="149"/>
      <c r="AI21" s="149"/>
      <c r="AJ21" s="149"/>
      <c r="AK21" s="149"/>
      <c r="AL21" s="149"/>
    </row>
    <row r="22" spans="1:38" ht="12.75" customHeight="1">
      <c r="A22" s="4">
        <v>16</v>
      </c>
      <c r="B22" s="1">
        <f ca="1">IF(A22=sheet4!$A$7,sheet4!$B$7,B22)</f>
        <v>10.77268642547171</v>
      </c>
      <c r="C22" s="1">
        <f t="shared" ca="1" si="0"/>
        <v>1991.1586602362192</v>
      </c>
      <c r="D22" s="5">
        <f t="shared" ca="1" si="1"/>
        <v>0.99925392911166189</v>
      </c>
      <c r="H22" s="52">
        <v>1.75</v>
      </c>
      <c r="I22" s="5">
        <f t="shared" ca="1" si="2"/>
        <v>6.8740094172495942E-4</v>
      </c>
      <c r="M22" s="163"/>
      <c r="N22" s="163"/>
      <c r="O22" s="163"/>
      <c r="P22" s="163"/>
      <c r="Q22" s="163"/>
      <c r="R22" s="163"/>
      <c r="S22" s="163"/>
      <c r="T22" s="163"/>
      <c r="U22" s="163"/>
      <c r="V22" s="163"/>
      <c r="W22" s="163"/>
      <c r="X22" s="163"/>
      <c r="Y22" s="163"/>
      <c r="Z22" s="149"/>
      <c r="AA22" s="149"/>
      <c r="AB22" s="149"/>
      <c r="AC22" s="149"/>
      <c r="AD22" s="149"/>
      <c r="AE22" s="149"/>
      <c r="AF22" s="149"/>
      <c r="AG22" s="149"/>
      <c r="AH22" s="149"/>
      <c r="AI22" s="149"/>
      <c r="AJ22" s="149"/>
      <c r="AK22" s="149"/>
      <c r="AL22" s="149"/>
    </row>
    <row r="23" spans="1:38" ht="12.75" customHeight="1">
      <c r="A23" s="4">
        <v>17</v>
      </c>
      <c r="B23" s="1">
        <f ca="1">IF(A23=sheet4!$A$7,sheet4!$B$7,B23)</f>
        <v>12.497141160903867</v>
      </c>
      <c r="C23" s="1">
        <f t="shared" ca="1" si="0"/>
        <v>1989.4342055007871</v>
      </c>
      <c r="D23" s="5">
        <f t="shared" ca="1" si="1"/>
        <v>0.99913394408498435</v>
      </c>
      <c r="H23" s="52">
        <v>1.8</v>
      </c>
      <c r="I23" s="5">
        <f t="shared" ca="1" si="2"/>
        <v>7.4575960815760004E-4</v>
      </c>
      <c r="M23" s="163"/>
      <c r="N23" s="163"/>
      <c r="O23" s="163"/>
      <c r="P23" s="163"/>
      <c r="Q23" s="163"/>
      <c r="R23" s="163"/>
      <c r="S23" s="163"/>
      <c r="T23" s="163"/>
      <c r="U23" s="163"/>
      <c r="V23" s="163"/>
      <c r="W23" s="163"/>
      <c r="X23" s="163"/>
      <c r="Y23" s="163"/>
      <c r="Z23" s="149"/>
      <c r="AA23" s="149"/>
      <c r="AB23" s="149"/>
      <c r="AC23" s="149"/>
      <c r="AD23" s="149"/>
      <c r="AE23" s="149"/>
      <c r="AF23" s="149"/>
      <c r="AG23" s="149"/>
      <c r="AH23" s="149"/>
      <c r="AI23" s="149"/>
      <c r="AJ23" s="149"/>
      <c r="AK23" s="149"/>
      <c r="AL23" s="149"/>
    </row>
    <row r="24" spans="1:38" ht="12.75" customHeight="1">
      <c r="A24" s="4">
        <v>18</v>
      </c>
      <c r="B24" s="1">
        <f ca="1">IF(A24=sheet4!$A$7,sheet4!$B$7,B24)</f>
        <v>14.497361659314382</v>
      </c>
      <c r="C24" s="1">
        <f t="shared" ca="1" si="0"/>
        <v>1987.4339850023764</v>
      </c>
      <c r="D24" s="5">
        <f t="shared" ca="1" si="1"/>
        <v>0.99899457821078974</v>
      </c>
      <c r="H24" s="52">
        <v>1.85</v>
      </c>
      <c r="I24" s="5">
        <f t="shared" ca="1" si="2"/>
        <v>8.0411486651186528E-4</v>
      </c>
      <c r="M24" s="163"/>
      <c r="N24" s="163"/>
      <c r="O24" s="163"/>
      <c r="P24" s="163"/>
      <c r="Q24" s="163"/>
      <c r="R24" s="163"/>
      <c r="S24" s="163"/>
      <c r="T24" s="163"/>
      <c r="U24" s="163"/>
      <c r="V24" s="163"/>
      <c r="W24" s="163"/>
      <c r="X24" s="163"/>
      <c r="Y24" s="163"/>
      <c r="Z24" s="149"/>
      <c r="AA24" s="149"/>
      <c r="AB24" s="149"/>
      <c r="AC24" s="149"/>
      <c r="AD24" s="149"/>
      <c r="AE24" s="149"/>
      <c r="AF24" s="149"/>
      <c r="AG24" s="149"/>
      <c r="AH24" s="149"/>
      <c r="AI24" s="149"/>
      <c r="AJ24" s="149"/>
      <c r="AK24" s="149"/>
      <c r="AL24" s="149"/>
    </row>
    <row r="25" spans="1:38" ht="12.75" customHeight="1">
      <c r="A25" s="4">
        <v>19</v>
      </c>
      <c r="B25" s="1">
        <f ca="1">IF(A25=sheet4!$A$7,sheet4!$B$7,B25)</f>
        <v>16.817349879753682</v>
      </c>
      <c r="C25" s="1">
        <f t="shared" ca="1" si="0"/>
        <v>1985.1139967819372</v>
      </c>
      <c r="D25" s="5">
        <f t="shared" ca="1" si="1"/>
        <v>0.99883267155641575</v>
      </c>
      <c r="H25" s="52">
        <v>1.9</v>
      </c>
      <c r="I25" s="5">
        <f t="shared" ca="1" si="2"/>
        <v>8.6246671699042644E-4</v>
      </c>
      <c r="M25" s="163"/>
      <c r="N25" s="163"/>
      <c r="O25" s="163"/>
      <c r="P25" s="163"/>
      <c r="Q25" s="163"/>
      <c r="R25" s="163"/>
      <c r="S25" s="163"/>
      <c r="T25" s="163"/>
      <c r="U25" s="163"/>
      <c r="V25" s="163"/>
      <c r="W25" s="163"/>
      <c r="X25" s="163"/>
      <c r="Y25" s="163"/>
      <c r="Z25" s="149"/>
      <c r="AA25" s="149"/>
      <c r="AB25" s="149"/>
      <c r="AC25" s="149"/>
      <c r="AD25" s="149"/>
      <c r="AE25" s="149"/>
      <c r="AF25" s="149"/>
      <c r="AG25" s="149"/>
      <c r="AH25" s="149"/>
      <c r="AI25" s="149"/>
      <c r="AJ25" s="149"/>
      <c r="AK25" s="149"/>
      <c r="AL25" s="149"/>
    </row>
    <row r="26" spans="1:38" ht="13.5" customHeight="1" thickBot="1">
      <c r="A26" s="31">
        <v>20</v>
      </c>
      <c r="B26" s="6">
        <f ca="1">IF(A26=sheet4!$A$7,sheet4!$B$7,B26)</f>
        <v>19.508094979353867</v>
      </c>
      <c r="C26" s="6">
        <f t="shared" ca="1" si="0"/>
        <v>1982.423251682337</v>
      </c>
      <c r="D26" s="7">
        <f t="shared" ca="1" si="1"/>
        <v>0.99864453874993464</v>
      </c>
      <c r="H26" s="52">
        <v>1.95</v>
      </c>
      <c r="I26" s="5">
        <f t="shared" ca="1" si="2"/>
        <v>9.2081515978840902E-4</v>
      </c>
      <c r="M26" s="163"/>
      <c r="N26" s="163"/>
      <c r="O26" s="163"/>
      <c r="P26" s="163"/>
      <c r="Q26" s="163"/>
      <c r="R26" s="163"/>
      <c r="S26" s="163"/>
      <c r="T26" s="163"/>
      <c r="U26" s="163"/>
      <c r="V26" s="163"/>
      <c r="W26" s="163"/>
      <c r="X26" s="163"/>
      <c r="Y26" s="163"/>
      <c r="Z26" s="149"/>
      <c r="AA26" s="149"/>
      <c r="AB26" s="149"/>
      <c r="AC26" s="149"/>
      <c r="AD26" s="149"/>
      <c r="AE26" s="149"/>
      <c r="AF26" s="149"/>
      <c r="AG26" s="149"/>
      <c r="AH26" s="149"/>
      <c r="AI26" s="149"/>
      <c r="AJ26" s="149"/>
      <c r="AK26" s="149"/>
      <c r="AL26" s="149"/>
    </row>
    <row r="27" spans="1:38" ht="13.5" customHeight="1" thickBot="1">
      <c r="H27" s="53">
        <v>2</v>
      </c>
      <c r="I27" s="7">
        <f t="shared" ca="1" si="2"/>
        <v>9.7916019510998326E-4</v>
      </c>
      <c r="M27" s="163"/>
      <c r="N27" s="163"/>
      <c r="O27" s="163"/>
      <c r="P27" s="163"/>
      <c r="Q27" s="163"/>
      <c r="R27" s="163"/>
      <c r="S27" s="163"/>
      <c r="T27" s="163"/>
      <c r="U27" s="163"/>
      <c r="V27" s="163"/>
      <c r="W27" s="163"/>
      <c r="X27" s="163"/>
      <c r="Y27" s="163"/>
      <c r="Z27" s="149"/>
      <c r="AA27" s="149"/>
      <c r="AB27" s="149"/>
      <c r="AC27" s="149"/>
      <c r="AD27" s="149"/>
      <c r="AE27" s="149"/>
      <c r="AF27" s="149"/>
      <c r="AG27" s="149"/>
      <c r="AH27" s="149"/>
      <c r="AI27" s="149"/>
      <c r="AJ27" s="149"/>
      <c r="AK27" s="149"/>
      <c r="AL27" s="149"/>
    </row>
    <row r="28" spans="1:38" ht="12.75" customHeight="1">
      <c r="M28" s="163"/>
      <c r="N28" s="163"/>
      <c r="O28" s="163"/>
      <c r="P28" s="163"/>
      <c r="Q28" s="163"/>
      <c r="R28" s="163"/>
      <c r="S28" s="163"/>
      <c r="T28" s="163"/>
      <c r="U28" s="163"/>
      <c r="V28" s="163"/>
      <c r="W28" s="163"/>
      <c r="X28" s="163"/>
      <c r="Y28" s="163"/>
      <c r="Z28" s="149"/>
      <c r="AA28" s="149"/>
      <c r="AB28" s="149"/>
      <c r="AC28" s="149"/>
      <c r="AD28" s="149"/>
      <c r="AE28" s="149"/>
      <c r="AF28" s="149"/>
      <c r="AG28" s="149"/>
      <c r="AH28" s="149"/>
      <c r="AI28" s="149"/>
      <c r="AJ28" s="149"/>
      <c r="AK28" s="149"/>
      <c r="AL28" s="149"/>
    </row>
    <row r="29" spans="1:38" ht="13.05" customHeight="1">
      <c r="M29" s="163"/>
      <c r="N29" s="163"/>
      <c r="O29" s="163"/>
      <c r="P29" s="163"/>
      <c r="Q29" s="163"/>
      <c r="R29" s="163"/>
      <c r="S29" s="163"/>
      <c r="T29" s="163"/>
      <c r="U29" s="163"/>
      <c r="V29" s="163"/>
      <c r="W29" s="163"/>
      <c r="X29" s="163"/>
      <c r="Y29" s="163"/>
      <c r="Z29" s="149"/>
      <c r="AA29" s="149"/>
      <c r="AB29" s="149"/>
      <c r="AC29" s="149"/>
      <c r="AD29" s="149"/>
      <c r="AE29" s="149"/>
      <c r="AF29" s="149"/>
      <c r="AG29" s="149"/>
      <c r="AH29" s="149"/>
      <c r="AI29" s="149"/>
      <c r="AJ29" s="149"/>
      <c r="AK29" s="149"/>
      <c r="AL29" s="149"/>
    </row>
    <row r="30" spans="1:38" ht="13.05" customHeight="1">
      <c r="M30" s="163"/>
      <c r="N30" s="163"/>
      <c r="O30" s="163"/>
      <c r="P30" s="163"/>
      <c r="Q30" s="163"/>
      <c r="R30" s="163"/>
      <c r="S30" s="163"/>
      <c r="T30" s="163"/>
      <c r="U30" s="163"/>
      <c r="V30" s="163"/>
      <c r="W30" s="163"/>
      <c r="X30" s="163"/>
      <c r="Y30" s="163"/>
      <c r="Z30" s="149"/>
      <c r="AA30" s="149"/>
      <c r="AB30" s="149"/>
      <c r="AC30" s="149"/>
      <c r="AD30" s="149"/>
      <c r="AE30" s="149"/>
      <c r="AF30" s="149"/>
      <c r="AG30" s="149"/>
      <c r="AH30" s="149"/>
      <c r="AI30" s="149"/>
      <c r="AJ30" s="149"/>
      <c r="AK30" s="149"/>
      <c r="AL30" s="149"/>
    </row>
    <row r="31" spans="1:38" ht="13.05" customHeight="1">
      <c r="M31" s="163"/>
      <c r="N31" s="163"/>
      <c r="O31" s="163"/>
      <c r="P31" s="163"/>
      <c r="Q31" s="163"/>
      <c r="R31" s="163"/>
      <c r="S31" s="163"/>
      <c r="T31" s="163"/>
      <c r="U31" s="163"/>
      <c r="V31" s="163"/>
      <c r="W31" s="163"/>
      <c r="X31" s="163"/>
      <c r="Y31" s="163"/>
      <c r="Z31" s="149"/>
      <c r="AA31" s="149"/>
      <c r="AB31" s="149"/>
      <c r="AC31" s="149"/>
      <c r="AD31" s="149"/>
      <c r="AE31" s="149"/>
      <c r="AF31" s="149"/>
      <c r="AG31" s="149"/>
      <c r="AH31" s="149"/>
      <c r="AI31" s="149"/>
      <c r="AJ31" s="149"/>
      <c r="AK31" s="149"/>
      <c r="AL31" s="149"/>
    </row>
    <row r="32" spans="1:38" ht="13.05" customHeight="1">
      <c r="M32" s="163"/>
      <c r="N32" s="163"/>
      <c r="O32" s="163"/>
      <c r="P32" s="163"/>
      <c r="Q32" s="163"/>
      <c r="R32" s="163"/>
      <c r="S32" s="163"/>
      <c r="T32" s="163"/>
      <c r="U32" s="163"/>
      <c r="V32" s="163"/>
      <c r="W32" s="163"/>
      <c r="X32" s="163"/>
      <c r="Y32" s="163"/>
      <c r="Z32" s="149"/>
      <c r="AA32" s="149"/>
      <c r="AB32" s="149"/>
      <c r="AC32" s="149"/>
      <c r="AD32" s="149"/>
      <c r="AE32" s="149"/>
      <c r="AF32" s="149"/>
      <c r="AG32" s="149"/>
      <c r="AH32" s="149"/>
      <c r="AI32" s="149"/>
      <c r="AJ32" s="149"/>
      <c r="AK32" s="149"/>
      <c r="AL32" s="149"/>
    </row>
    <row r="33" spans="1:50" ht="13.05" customHeight="1">
      <c r="L33" s="148"/>
      <c r="M33" s="163"/>
      <c r="N33" s="163"/>
      <c r="O33" s="163"/>
      <c r="P33" s="163"/>
      <c r="Q33" s="163"/>
      <c r="R33" s="163"/>
      <c r="S33" s="163"/>
      <c r="T33" s="163"/>
      <c r="U33" s="163"/>
      <c r="V33" s="163"/>
      <c r="W33" s="163"/>
      <c r="X33" s="163"/>
      <c r="Y33" s="163"/>
    </row>
    <row r="34" spans="1:50" ht="14" customHeight="1">
      <c r="L34" s="148"/>
      <c r="M34" s="148"/>
      <c r="N34" s="148"/>
      <c r="O34" s="148"/>
      <c r="P34" s="148"/>
      <c r="Q34" s="148"/>
      <c r="R34" s="148"/>
      <c r="S34" s="148"/>
      <c r="T34" s="148"/>
      <c r="U34" s="148"/>
      <c r="V34" s="148"/>
      <c r="W34" s="148"/>
    </row>
    <row r="35" spans="1:50" ht="12.75" customHeight="1">
      <c r="L35" s="148"/>
      <c r="M35" s="148"/>
      <c r="N35" s="148"/>
      <c r="O35" s="148"/>
      <c r="P35" s="148"/>
      <c r="Q35" s="148"/>
      <c r="R35" s="148"/>
      <c r="S35" s="148"/>
      <c r="T35" s="148"/>
      <c r="U35" s="148"/>
      <c r="V35" s="148"/>
      <c r="W35" s="148"/>
    </row>
    <row r="36" spans="1:50" ht="12.75" customHeight="1">
      <c r="L36" s="148"/>
      <c r="M36" s="148"/>
      <c r="N36" s="148"/>
      <c r="O36" s="148"/>
      <c r="P36" s="148"/>
      <c r="Q36" s="148"/>
      <c r="R36" s="148"/>
      <c r="S36" s="148"/>
      <c r="T36" s="148"/>
      <c r="U36" s="148"/>
      <c r="V36" s="148"/>
      <c r="W36" s="148"/>
    </row>
    <row r="37" spans="1:50" ht="15.75" thickBot="1">
      <c r="A37" s="68" t="s">
        <v>65</v>
      </c>
      <c r="B37" s="69"/>
      <c r="C37" s="69"/>
      <c r="D37" s="69"/>
      <c r="E37" s="69"/>
      <c r="F37" s="69"/>
    </row>
    <row r="38" spans="1:50" ht="50.25" customHeight="1" thickBot="1">
      <c r="A38" s="73" t="s">
        <v>0</v>
      </c>
      <c r="B38" s="81" t="s">
        <v>68</v>
      </c>
      <c r="C38" s="82" t="s">
        <v>69</v>
      </c>
      <c r="D38" s="74" t="s">
        <v>66</v>
      </c>
      <c r="AN38" s="162" t="s">
        <v>91</v>
      </c>
      <c r="AO38" s="162"/>
      <c r="AP38" s="162"/>
      <c r="AQ38" s="162"/>
      <c r="AR38" s="162"/>
      <c r="AS38" s="162"/>
      <c r="AT38" s="162"/>
      <c r="AU38" s="162"/>
      <c r="AV38" s="162"/>
      <c r="AW38" s="162"/>
      <c r="AX38" s="162"/>
    </row>
    <row r="39" spans="1:50">
      <c r="A39" s="26">
        <v>1</v>
      </c>
      <c r="B39" s="70">
        <v>1.0000000000031264</v>
      </c>
      <c r="C39" s="83">
        <v>2000.9313466616877</v>
      </c>
      <c r="D39" s="28">
        <v>1.1499999999999999</v>
      </c>
      <c r="AN39" s="162"/>
      <c r="AO39" s="162"/>
      <c r="AP39" s="162"/>
      <c r="AQ39" s="162"/>
      <c r="AR39" s="162"/>
      <c r="AS39" s="162"/>
      <c r="AT39" s="162"/>
      <c r="AU39" s="162"/>
      <c r="AV39" s="162"/>
      <c r="AW39" s="162"/>
      <c r="AX39" s="162"/>
    </row>
    <row r="40" spans="1:50">
      <c r="A40" s="4">
        <v>2</v>
      </c>
      <c r="B40" s="71">
        <v>41.835333605343706</v>
      </c>
      <c r="C40" s="84">
        <v>1960.0960130563471</v>
      </c>
      <c r="D40" s="5">
        <v>1.2</v>
      </c>
      <c r="AN40" s="162"/>
      <c r="AO40" s="162"/>
      <c r="AP40" s="162"/>
      <c r="AQ40" s="162"/>
      <c r="AR40" s="162"/>
      <c r="AS40" s="162"/>
      <c r="AT40" s="162"/>
      <c r="AU40" s="162"/>
      <c r="AV40" s="162"/>
      <c r="AW40" s="162"/>
      <c r="AX40" s="162"/>
    </row>
    <row r="41" spans="1:50">
      <c r="A41" s="4">
        <v>3</v>
      </c>
      <c r="B41" s="71">
        <v>82.670667210684286</v>
      </c>
      <c r="C41" s="84">
        <v>1919.2606794510066</v>
      </c>
      <c r="D41" s="5">
        <v>1.3</v>
      </c>
      <c r="AN41" s="162"/>
      <c r="AO41" s="162"/>
      <c r="AP41" s="162"/>
      <c r="AQ41" s="162"/>
      <c r="AR41" s="162"/>
      <c r="AS41" s="162"/>
      <c r="AT41" s="162"/>
      <c r="AU41" s="162"/>
      <c r="AV41" s="162"/>
      <c r="AW41" s="162"/>
      <c r="AX41" s="162"/>
    </row>
    <row r="42" spans="1:50">
      <c r="A42" s="4">
        <v>4</v>
      </c>
      <c r="B42" s="71">
        <v>123.50600081602487</v>
      </c>
      <c r="C42" s="84">
        <v>1878.425345845666</v>
      </c>
      <c r="D42" s="5">
        <v>1.5</v>
      </c>
      <c r="AN42" s="162"/>
      <c r="AO42" s="162"/>
      <c r="AP42" s="162"/>
      <c r="AQ42" s="162"/>
      <c r="AR42" s="162"/>
      <c r="AS42" s="162"/>
      <c r="AT42" s="162"/>
      <c r="AU42" s="162"/>
      <c r="AV42" s="162"/>
      <c r="AW42" s="162"/>
      <c r="AX42" s="162"/>
    </row>
    <row r="43" spans="1:50">
      <c r="A43" s="4">
        <v>5</v>
      </c>
      <c r="B43" s="71">
        <v>164.34133442136545</v>
      </c>
      <c r="C43" s="84">
        <v>1837.5900122403254</v>
      </c>
      <c r="D43" s="5">
        <v>1.75</v>
      </c>
      <c r="AN43" s="162"/>
      <c r="AO43" s="162"/>
      <c r="AP43" s="162"/>
      <c r="AQ43" s="162"/>
      <c r="AR43" s="162"/>
      <c r="AS43" s="162"/>
      <c r="AT43" s="162"/>
      <c r="AU43" s="162"/>
      <c r="AV43" s="162"/>
      <c r="AW43" s="162"/>
      <c r="AX43" s="162"/>
    </row>
    <row r="44" spans="1:50">
      <c r="A44" s="141">
        <v>6</v>
      </c>
      <c r="B44" s="142">
        <v>205.17666802670601</v>
      </c>
      <c r="C44" s="143">
        <v>1796.7546786349849</v>
      </c>
      <c r="D44" s="122">
        <v>1.95</v>
      </c>
      <c r="AN44" s="162"/>
      <c r="AO44" s="162"/>
      <c r="AP44" s="162"/>
      <c r="AQ44" s="162"/>
      <c r="AR44" s="162"/>
      <c r="AS44" s="162"/>
      <c r="AT44" s="162"/>
      <c r="AU44" s="162"/>
      <c r="AV44" s="162"/>
      <c r="AW44" s="162"/>
      <c r="AX44" s="162"/>
    </row>
    <row r="45" spans="1:50">
      <c r="A45" s="4">
        <v>7</v>
      </c>
      <c r="B45" s="71">
        <v>246.012001632047</v>
      </c>
      <c r="C45" s="84">
        <v>1755.9193450296443</v>
      </c>
      <c r="D45" s="5">
        <v>2</v>
      </c>
      <c r="AN45" s="162"/>
      <c r="AO45" s="162"/>
      <c r="AP45" s="162"/>
      <c r="AQ45" s="162"/>
      <c r="AR45" s="162"/>
      <c r="AS45" s="162"/>
      <c r="AT45" s="162"/>
      <c r="AU45" s="162"/>
      <c r="AV45" s="162"/>
      <c r="AW45" s="162"/>
      <c r="AX45" s="162"/>
    </row>
    <row r="46" spans="1:50">
      <c r="A46" s="4">
        <v>8</v>
      </c>
      <c r="B46" s="71">
        <v>286.84733523738714</v>
      </c>
      <c r="C46" s="84">
        <v>1715.0840114243038</v>
      </c>
      <c r="D46" s="5">
        <v>2</v>
      </c>
      <c r="AN46" s="162"/>
      <c r="AO46" s="162"/>
      <c r="AP46" s="162"/>
      <c r="AQ46" s="162"/>
      <c r="AR46" s="162"/>
      <c r="AS46" s="162"/>
      <c r="AT46" s="162"/>
      <c r="AU46" s="162"/>
      <c r="AV46" s="162"/>
      <c r="AW46" s="162"/>
      <c r="AX46" s="162"/>
    </row>
    <row r="47" spans="1:50">
      <c r="A47" s="4">
        <v>9</v>
      </c>
      <c r="B47" s="71">
        <v>327.68266884272771</v>
      </c>
      <c r="C47" s="84">
        <v>1674.2486778189632</v>
      </c>
      <c r="D47" s="5">
        <v>2</v>
      </c>
      <c r="AN47" s="162"/>
      <c r="AO47" s="162"/>
      <c r="AP47" s="162"/>
      <c r="AQ47" s="162"/>
      <c r="AR47" s="162"/>
      <c r="AS47" s="162"/>
      <c r="AT47" s="162"/>
      <c r="AU47" s="162"/>
      <c r="AV47" s="162"/>
      <c r="AW47" s="162"/>
      <c r="AX47" s="162"/>
    </row>
    <row r="48" spans="1:50">
      <c r="A48" s="4">
        <v>10</v>
      </c>
      <c r="B48" s="71">
        <v>368.51800244806827</v>
      </c>
      <c r="C48" s="84">
        <v>1633.4133442136226</v>
      </c>
      <c r="D48" s="5">
        <v>2</v>
      </c>
      <c r="AN48" s="162"/>
      <c r="AO48" s="162"/>
      <c r="AP48" s="162"/>
      <c r="AQ48" s="162"/>
      <c r="AR48" s="162"/>
      <c r="AS48" s="162"/>
      <c r="AT48" s="162"/>
      <c r="AU48" s="162"/>
      <c r="AV48" s="162"/>
      <c r="AW48" s="162"/>
      <c r="AX48" s="162"/>
    </row>
    <row r="49" spans="1:50">
      <c r="A49" s="4">
        <v>11</v>
      </c>
      <c r="B49" s="71">
        <v>409.35333605340884</v>
      </c>
      <c r="C49" s="84">
        <v>1592.5780106082821</v>
      </c>
      <c r="D49" s="5">
        <v>1.95</v>
      </c>
      <c r="AN49" s="162"/>
      <c r="AO49" s="162"/>
      <c r="AP49" s="162"/>
      <c r="AQ49" s="162"/>
      <c r="AR49" s="162"/>
      <c r="AS49" s="162"/>
      <c r="AT49" s="162"/>
      <c r="AU49" s="162"/>
      <c r="AV49" s="162"/>
      <c r="AW49" s="162"/>
      <c r="AX49" s="162"/>
    </row>
    <row r="50" spans="1:50">
      <c r="A50" s="144">
        <v>12</v>
      </c>
      <c r="B50" s="145">
        <v>450.18866965874901</v>
      </c>
      <c r="C50" s="146">
        <v>1551.7426770029415</v>
      </c>
      <c r="D50" s="147">
        <v>2</v>
      </c>
      <c r="AN50" s="162"/>
      <c r="AO50" s="162"/>
      <c r="AP50" s="162"/>
      <c r="AQ50" s="162"/>
      <c r="AR50" s="162"/>
      <c r="AS50" s="162"/>
      <c r="AT50" s="162"/>
      <c r="AU50" s="162"/>
      <c r="AV50" s="162"/>
      <c r="AW50" s="162"/>
      <c r="AX50" s="162"/>
    </row>
    <row r="51" spans="1:50">
      <c r="A51" s="4">
        <v>13</v>
      </c>
      <c r="B51" s="71">
        <v>491.02400326408997</v>
      </c>
      <c r="C51" s="84">
        <v>1510.9073433976009</v>
      </c>
      <c r="D51" s="5">
        <v>2</v>
      </c>
      <c r="AN51" s="162"/>
      <c r="AO51" s="162"/>
      <c r="AP51" s="162"/>
      <c r="AQ51" s="162"/>
      <c r="AR51" s="162"/>
      <c r="AS51" s="162"/>
      <c r="AT51" s="162"/>
      <c r="AU51" s="162"/>
      <c r="AV51" s="162"/>
      <c r="AW51" s="162"/>
      <c r="AX51" s="162"/>
    </row>
    <row r="52" spans="1:50">
      <c r="A52" s="4">
        <v>14</v>
      </c>
      <c r="B52" s="71">
        <v>531.85933686943054</v>
      </c>
      <c r="C52" s="84">
        <v>1470.0720097922604</v>
      </c>
      <c r="D52" s="5">
        <v>2</v>
      </c>
    </row>
    <row r="53" spans="1:50">
      <c r="A53" s="4">
        <v>15</v>
      </c>
      <c r="B53" s="71">
        <v>572.6946704747711</v>
      </c>
      <c r="C53" s="84">
        <v>1429.2366761869198</v>
      </c>
      <c r="D53" s="5">
        <v>2</v>
      </c>
    </row>
    <row r="54" spans="1:50">
      <c r="A54" s="4">
        <v>16</v>
      </c>
      <c r="B54" s="71">
        <v>613.53000408011167</v>
      </c>
      <c r="C54" s="84">
        <v>1388.4013425815792</v>
      </c>
      <c r="D54" s="5">
        <v>2</v>
      </c>
    </row>
    <row r="55" spans="1:50">
      <c r="A55" s="4">
        <v>17</v>
      </c>
      <c r="B55" s="71">
        <v>654.36533768545223</v>
      </c>
      <c r="C55" s="84">
        <v>1347.5660089762387</v>
      </c>
      <c r="D55" s="5">
        <v>2</v>
      </c>
    </row>
    <row r="56" spans="1:50">
      <c r="A56" s="4">
        <v>18</v>
      </c>
      <c r="B56" s="71">
        <v>695.2006712907928</v>
      </c>
      <c r="C56" s="84">
        <v>1306.7306753708981</v>
      </c>
      <c r="D56" s="5">
        <v>2</v>
      </c>
    </row>
    <row r="57" spans="1:50">
      <c r="A57" s="4">
        <v>19</v>
      </c>
      <c r="B57" s="71">
        <v>736.03600489613336</v>
      </c>
      <c r="C57" s="84">
        <v>1265.8953417655575</v>
      </c>
      <c r="D57" s="5">
        <v>2</v>
      </c>
    </row>
    <row r="58" spans="1:50">
      <c r="A58" s="4">
        <v>20</v>
      </c>
      <c r="B58" s="71">
        <v>776.87133850147393</v>
      </c>
      <c r="C58" s="84">
        <v>1225.060008160217</v>
      </c>
      <c r="D58" s="5">
        <v>2</v>
      </c>
    </row>
    <row r="59" spans="1:50">
      <c r="A59" s="4">
        <v>21</v>
      </c>
      <c r="B59" s="71">
        <v>817.70667210681449</v>
      </c>
      <c r="C59" s="84">
        <v>1184.2246745548764</v>
      </c>
      <c r="D59" s="5">
        <v>2</v>
      </c>
    </row>
    <row r="60" spans="1:50">
      <c r="A60" s="4">
        <v>22</v>
      </c>
      <c r="B60" s="71">
        <v>858.54200571215506</v>
      </c>
      <c r="C60" s="84">
        <v>1143.3893409495358</v>
      </c>
      <c r="D60" s="5">
        <v>2</v>
      </c>
    </row>
    <row r="61" spans="1:50">
      <c r="A61" s="4">
        <v>23</v>
      </c>
      <c r="B61" s="71">
        <v>899.37733931749563</v>
      </c>
      <c r="C61" s="84">
        <v>1102.5540073441953</v>
      </c>
      <c r="D61" s="5">
        <v>2</v>
      </c>
    </row>
    <row r="62" spans="1:50">
      <c r="A62" s="4">
        <v>24</v>
      </c>
      <c r="B62" s="71">
        <v>940.21267292283619</v>
      </c>
      <c r="C62" s="84">
        <v>1061.7186737388547</v>
      </c>
      <c r="D62" s="5">
        <v>2</v>
      </c>
    </row>
    <row r="63" spans="1:50">
      <c r="A63" s="4">
        <v>25</v>
      </c>
      <c r="B63" s="71">
        <v>981.04800652817676</v>
      </c>
      <c r="C63" s="84">
        <v>1020.8833401335141</v>
      </c>
      <c r="D63" s="5">
        <v>2</v>
      </c>
    </row>
    <row r="64" spans="1:50">
      <c r="A64" s="4">
        <v>26</v>
      </c>
      <c r="B64" s="71">
        <v>1021.8833401335173</v>
      </c>
      <c r="C64" s="84">
        <v>980.04800652817357</v>
      </c>
      <c r="D64" s="5">
        <v>2</v>
      </c>
    </row>
    <row r="65" spans="1:12">
      <c r="A65" s="4">
        <v>27</v>
      </c>
      <c r="B65" s="71">
        <v>1062.7186737388579</v>
      </c>
      <c r="C65" s="84">
        <v>939.21267292283301</v>
      </c>
      <c r="D65" s="5">
        <v>2</v>
      </c>
    </row>
    <row r="66" spans="1:12">
      <c r="A66" s="4">
        <v>28</v>
      </c>
      <c r="B66" s="71">
        <v>1103.5540073441985</v>
      </c>
      <c r="C66" s="84">
        <v>898.37733931749244</v>
      </c>
      <c r="D66" s="5">
        <v>2</v>
      </c>
    </row>
    <row r="67" spans="1:12">
      <c r="A67" s="4">
        <v>29</v>
      </c>
      <c r="B67" s="71">
        <v>1144.389340949539</v>
      </c>
      <c r="C67" s="84">
        <v>857.54200571215188</v>
      </c>
      <c r="D67" s="5">
        <v>2</v>
      </c>
      <c r="F67" s="105"/>
      <c r="G67" s="105"/>
      <c r="H67" s="105"/>
      <c r="I67" s="105"/>
      <c r="J67" s="105"/>
      <c r="K67" s="105"/>
      <c r="L67" s="105"/>
    </row>
    <row r="68" spans="1:12">
      <c r="A68" s="4">
        <v>30</v>
      </c>
      <c r="B68" s="71">
        <v>1185.2246745548796</v>
      </c>
      <c r="C68" s="84">
        <v>816.70667210681131</v>
      </c>
      <c r="D68" s="5">
        <v>2</v>
      </c>
      <c r="F68" s="105"/>
      <c r="G68" s="105"/>
      <c r="H68" s="105"/>
      <c r="I68" s="105"/>
      <c r="J68" s="105"/>
      <c r="K68" s="105"/>
      <c r="L68" s="105"/>
    </row>
    <row r="69" spans="1:12">
      <c r="A69" s="4">
        <v>31</v>
      </c>
      <c r="B69" s="71">
        <v>1226.0600081602201</v>
      </c>
      <c r="C69" s="84">
        <v>775.87133850147075</v>
      </c>
      <c r="D69" s="5">
        <v>2</v>
      </c>
      <c r="F69" s="105"/>
      <c r="G69" s="105"/>
      <c r="H69" s="105"/>
      <c r="I69" s="105"/>
      <c r="J69" s="105"/>
      <c r="K69" s="105"/>
      <c r="L69" s="105"/>
    </row>
    <row r="70" spans="1:12">
      <c r="A70" s="4">
        <v>32</v>
      </c>
      <c r="B70" s="71">
        <v>1266.8953417655607</v>
      </c>
      <c r="C70" s="84">
        <v>735.03600489613018</v>
      </c>
      <c r="D70" s="5">
        <v>2</v>
      </c>
      <c r="F70" s="105"/>
      <c r="G70" s="105"/>
      <c r="H70" s="105"/>
      <c r="I70" s="105"/>
      <c r="J70" s="105"/>
      <c r="K70" s="105"/>
      <c r="L70" s="105"/>
    </row>
    <row r="71" spans="1:12">
      <c r="A71" s="4">
        <v>33</v>
      </c>
      <c r="B71" s="71">
        <v>1307.7306753709013</v>
      </c>
      <c r="C71" s="84">
        <v>694.20067129078961</v>
      </c>
      <c r="D71" s="5">
        <v>2</v>
      </c>
      <c r="G71" s="105"/>
      <c r="H71" s="105"/>
      <c r="I71" s="105"/>
      <c r="J71" s="105"/>
      <c r="K71" s="105"/>
      <c r="L71" s="105"/>
    </row>
    <row r="72" spans="1:12">
      <c r="A72" s="4">
        <v>34</v>
      </c>
      <c r="B72" s="71">
        <v>1348.5660089762418</v>
      </c>
      <c r="C72" s="84">
        <v>653.36533768544905</v>
      </c>
      <c r="D72" s="5">
        <v>2</v>
      </c>
      <c r="F72" s="105"/>
      <c r="G72" s="105"/>
      <c r="H72" s="105"/>
      <c r="I72" s="105"/>
      <c r="J72" s="105"/>
      <c r="K72" s="105"/>
      <c r="L72" s="105"/>
    </row>
    <row r="73" spans="1:12" ht="15.5" customHeight="1">
      <c r="A73" s="4">
        <v>35</v>
      </c>
      <c r="B73" s="119">
        <v>1389.4013425815824</v>
      </c>
      <c r="C73" s="84">
        <v>612.53000408010848</v>
      </c>
      <c r="D73" s="5">
        <v>2</v>
      </c>
    </row>
    <row r="74" spans="1:12">
      <c r="A74" s="4">
        <v>36</v>
      </c>
      <c r="B74" s="71">
        <v>1430.236676186923</v>
      </c>
      <c r="C74" s="84">
        <v>571.69467047476792</v>
      </c>
      <c r="D74" s="5">
        <v>2</v>
      </c>
    </row>
    <row r="75" spans="1:12">
      <c r="A75" s="4">
        <v>37</v>
      </c>
      <c r="B75" s="71">
        <v>1471.0720097922635</v>
      </c>
      <c r="C75" s="84">
        <v>530.85933686942735</v>
      </c>
      <c r="D75" s="5">
        <v>2</v>
      </c>
    </row>
    <row r="76" spans="1:12">
      <c r="A76" s="4">
        <v>38</v>
      </c>
      <c r="B76" s="71">
        <v>1511.9073433976041</v>
      </c>
      <c r="C76" s="84">
        <v>490.02400326408679</v>
      </c>
      <c r="D76" s="5">
        <v>2</v>
      </c>
    </row>
    <row r="77" spans="1:12">
      <c r="A77" s="4">
        <v>39</v>
      </c>
      <c r="B77" s="71">
        <v>1552.7426770029447</v>
      </c>
      <c r="C77" s="84">
        <v>449.18866965874622</v>
      </c>
      <c r="D77" s="5">
        <v>2</v>
      </c>
    </row>
    <row r="78" spans="1:12">
      <c r="A78" s="4">
        <v>40</v>
      </c>
      <c r="B78" s="71">
        <v>1593.5780106082852</v>
      </c>
      <c r="C78" s="84">
        <v>408.35333605340566</v>
      </c>
      <c r="D78" s="5">
        <v>2</v>
      </c>
    </row>
    <row r="79" spans="1:12">
      <c r="A79" s="4">
        <v>41</v>
      </c>
      <c r="B79" s="71">
        <v>1634.4133442136258</v>
      </c>
      <c r="C79" s="84">
        <v>367.51800244806509</v>
      </c>
      <c r="D79" s="5">
        <v>2</v>
      </c>
    </row>
    <row r="80" spans="1:12">
      <c r="A80" s="4">
        <v>42</v>
      </c>
      <c r="B80" s="71">
        <v>1675.2486778189664</v>
      </c>
      <c r="C80" s="84">
        <v>326.68266884272452</v>
      </c>
      <c r="D80" s="5">
        <v>2</v>
      </c>
    </row>
    <row r="81" spans="1:41">
      <c r="A81" s="4">
        <v>43</v>
      </c>
      <c r="B81" s="71">
        <v>1716.0840114243069</v>
      </c>
      <c r="C81" s="84">
        <v>285.84733523738396</v>
      </c>
      <c r="D81" s="5">
        <v>2</v>
      </c>
      <c r="AH81" s="160" t="s">
        <v>89</v>
      </c>
      <c r="AI81" s="161"/>
      <c r="AJ81" s="161"/>
      <c r="AK81" s="161"/>
      <c r="AL81" s="161"/>
      <c r="AM81" s="161"/>
      <c r="AN81" s="161"/>
      <c r="AO81" s="161"/>
    </row>
    <row r="82" spans="1:41">
      <c r="A82" s="4">
        <v>44</v>
      </c>
      <c r="B82" s="71">
        <v>1756.9193450296475</v>
      </c>
      <c r="C82" s="84">
        <v>245.01200163204339</v>
      </c>
      <c r="D82" s="5">
        <v>2</v>
      </c>
      <c r="AH82" s="161"/>
      <c r="AI82" s="161"/>
      <c r="AJ82" s="161"/>
      <c r="AK82" s="161"/>
      <c r="AL82" s="161"/>
      <c r="AM82" s="161"/>
      <c r="AN82" s="161"/>
      <c r="AO82" s="161"/>
    </row>
    <row r="83" spans="1:41">
      <c r="A83" s="4">
        <v>45</v>
      </c>
      <c r="B83" s="71">
        <v>1797.7546786349881</v>
      </c>
      <c r="C83" s="84">
        <v>204.17666802670283</v>
      </c>
      <c r="D83" s="5">
        <v>2</v>
      </c>
      <c r="AH83" s="161"/>
      <c r="AI83" s="161"/>
      <c r="AJ83" s="161"/>
      <c r="AK83" s="161"/>
      <c r="AL83" s="161"/>
      <c r="AM83" s="161"/>
      <c r="AN83" s="161"/>
      <c r="AO83" s="161"/>
    </row>
    <row r="84" spans="1:41">
      <c r="A84" s="4">
        <v>46</v>
      </c>
      <c r="B84" s="71">
        <v>1838.5900122403286</v>
      </c>
      <c r="C84" s="84">
        <v>163.34133442136226</v>
      </c>
      <c r="D84" s="5">
        <v>2</v>
      </c>
      <c r="AH84" s="161"/>
      <c r="AI84" s="161"/>
      <c r="AJ84" s="161"/>
      <c r="AK84" s="161"/>
      <c r="AL84" s="161"/>
      <c r="AM84" s="161"/>
      <c r="AN84" s="161"/>
      <c r="AO84" s="161"/>
    </row>
    <row r="85" spans="1:41">
      <c r="A85" s="4">
        <v>47</v>
      </c>
      <c r="B85" s="71">
        <v>1879.4253458456692</v>
      </c>
      <c r="C85" s="84">
        <v>122.5060008160217</v>
      </c>
      <c r="D85" s="5">
        <v>2</v>
      </c>
      <c r="AH85" s="161"/>
      <c r="AI85" s="161"/>
      <c r="AJ85" s="161"/>
      <c r="AK85" s="161"/>
      <c r="AL85" s="161"/>
      <c r="AM85" s="161"/>
      <c r="AN85" s="161"/>
      <c r="AO85" s="161"/>
    </row>
    <row r="86" spans="1:41">
      <c r="A86" s="4">
        <v>48</v>
      </c>
      <c r="B86" s="71">
        <v>1920.2606794510098</v>
      </c>
      <c r="C86" s="84">
        <v>81.670667210681131</v>
      </c>
      <c r="D86" s="5">
        <v>2</v>
      </c>
      <c r="AH86" s="161"/>
      <c r="AI86" s="161"/>
      <c r="AJ86" s="161"/>
      <c r="AK86" s="161"/>
      <c r="AL86" s="161"/>
      <c r="AM86" s="161"/>
      <c r="AN86" s="161"/>
      <c r="AO86" s="161"/>
    </row>
    <row r="87" spans="1:41">
      <c r="A87" s="4">
        <v>49</v>
      </c>
      <c r="B87" s="71">
        <v>1961.0960130563503</v>
      </c>
      <c r="C87" s="84">
        <v>40.835333605340566</v>
      </c>
      <c r="D87" s="5">
        <v>2</v>
      </c>
      <c r="AH87" s="161"/>
      <c r="AI87" s="161"/>
      <c r="AJ87" s="161"/>
      <c r="AK87" s="161"/>
      <c r="AL87" s="161"/>
      <c r="AM87" s="161"/>
      <c r="AN87" s="161"/>
      <c r="AO87" s="161"/>
    </row>
    <row r="88" spans="1:41">
      <c r="A88" s="128">
        <v>50</v>
      </c>
      <c r="B88" s="79">
        <v>2001.9313466616909</v>
      </c>
      <c r="C88" s="129">
        <v>0</v>
      </c>
      <c r="D88" s="130">
        <v>2</v>
      </c>
      <c r="AH88" s="161"/>
      <c r="AI88" s="161"/>
      <c r="AJ88" s="161"/>
      <c r="AK88" s="161"/>
      <c r="AL88" s="161"/>
      <c r="AM88" s="161"/>
      <c r="AN88" s="161"/>
      <c r="AO88" s="161"/>
    </row>
    <row r="89" spans="1:41">
      <c r="A89" s="4">
        <v>51</v>
      </c>
      <c r="B89" s="71">
        <v>2042.7666802670315</v>
      </c>
      <c r="C89" s="84">
        <v>40.835333605340566</v>
      </c>
      <c r="D89" s="5">
        <v>2</v>
      </c>
      <c r="F89" s="131"/>
      <c r="G89" s="131"/>
      <c r="H89" s="131"/>
      <c r="I89" s="131"/>
      <c r="J89" s="131"/>
      <c r="K89" s="131"/>
      <c r="L89" s="131"/>
      <c r="AH89" s="161"/>
      <c r="AI89" s="161"/>
      <c r="AJ89" s="161"/>
      <c r="AK89" s="161"/>
      <c r="AL89" s="161"/>
      <c r="AM89" s="161"/>
      <c r="AN89" s="161"/>
      <c r="AO89" s="161"/>
    </row>
    <row r="90" spans="1:41">
      <c r="A90" s="4">
        <v>52</v>
      </c>
      <c r="B90" s="71">
        <v>2083.602013872372</v>
      </c>
      <c r="C90" s="84">
        <v>81.670667210681131</v>
      </c>
      <c r="D90" s="5">
        <v>2</v>
      </c>
      <c r="AH90" s="161"/>
      <c r="AI90" s="161"/>
      <c r="AJ90" s="161"/>
      <c r="AK90" s="161"/>
      <c r="AL90" s="161"/>
      <c r="AM90" s="161"/>
      <c r="AN90" s="161"/>
      <c r="AO90" s="161"/>
    </row>
    <row r="91" spans="1:41">
      <c r="A91" s="4">
        <v>53</v>
      </c>
      <c r="B91" s="71">
        <v>2124.4373474777126</v>
      </c>
      <c r="C91" s="84">
        <v>122.5060008160217</v>
      </c>
      <c r="D91" s="5">
        <v>2</v>
      </c>
      <c r="AH91" s="161"/>
      <c r="AI91" s="161"/>
      <c r="AJ91" s="161"/>
      <c r="AK91" s="161"/>
      <c r="AL91" s="161"/>
      <c r="AM91" s="161"/>
      <c r="AN91" s="161"/>
      <c r="AO91" s="161"/>
    </row>
    <row r="92" spans="1:41">
      <c r="A92" s="4">
        <v>54</v>
      </c>
      <c r="B92" s="71">
        <v>2165.2726810830532</v>
      </c>
      <c r="C92" s="84">
        <v>163.34133442136226</v>
      </c>
      <c r="D92" s="5">
        <v>2</v>
      </c>
      <c r="AH92" s="161"/>
      <c r="AI92" s="161"/>
      <c r="AJ92" s="161"/>
      <c r="AK92" s="161"/>
      <c r="AL92" s="161"/>
      <c r="AM92" s="161"/>
      <c r="AN92" s="161"/>
      <c r="AO92" s="161"/>
    </row>
    <row r="93" spans="1:41">
      <c r="A93" s="4">
        <v>55</v>
      </c>
      <c r="B93" s="71">
        <v>2206.1080146883937</v>
      </c>
      <c r="C93" s="84">
        <v>204.17666802670283</v>
      </c>
      <c r="D93" s="5">
        <v>2</v>
      </c>
      <c r="AH93" s="161"/>
      <c r="AI93" s="161"/>
      <c r="AJ93" s="161"/>
      <c r="AK93" s="161"/>
      <c r="AL93" s="161"/>
      <c r="AM93" s="161"/>
      <c r="AN93" s="161"/>
      <c r="AO93" s="161"/>
    </row>
    <row r="94" spans="1:41">
      <c r="A94" s="4">
        <v>56</v>
      </c>
      <c r="B94" s="71">
        <v>2246.9433482937302</v>
      </c>
      <c r="C94" s="84">
        <v>245.01200163204339</v>
      </c>
      <c r="D94" s="5">
        <v>2</v>
      </c>
      <c r="AH94" s="161"/>
      <c r="AI94" s="161"/>
      <c r="AJ94" s="161"/>
      <c r="AK94" s="161"/>
      <c r="AL94" s="161"/>
      <c r="AM94" s="161"/>
      <c r="AN94" s="161"/>
      <c r="AO94" s="161"/>
    </row>
    <row r="95" spans="1:41">
      <c r="A95" s="124">
        <v>57</v>
      </c>
      <c r="B95" s="125">
        <v>2287.7786818990699</v>
      </c>
      <c r="C95" s="126">
        <v>285.84733523738396</v>
      </c>
      <c r="D95" s="127">
        <v>2</v>
      </c>
      <c r="AH95" s="161"/>
      <c r="AI95" s="161"/>
      <c r="AJ95" s="161"/>
      <c r="AK95" s="161"/>
      <c r="AL95" s="161"/>
      <c r="AM95" s="161"/>
      <c r="AN95" s="161"/>
      <c r="AO95" s="161"/>
    </row>
    <row r="96" spans="1:41">
      <c r="A96" s="4">
        <v>58</v>
      </c>
      <c r="B96" s="71">
        <v>2328.6140155044154</v>
      </c>
      <c r="C96" s="84">
        <v>326.68266884272452</v>
      </c>
      <c r="D96" s="5">
        <v>1.4</v>
      </c>
      <c r="AH96" s="161"/>
      <c r="AI96" s="161"/>
      <c r="AJ96" s="161"/>
      <c r="AK96" s="161"/>
      <c r="AL96" s="161"/>
      <c r="AM96" s="161"/>
      <c r="AN96" s="161"/>
      <c r="AO96" s="161"/>
    </row>
    <row r="97" spans="1:4">
      <c r="A97" s="4">
        <v>59</v>
      </c>
      <c r="B97" s="71">
        <v>2491.8504675461836</v>
      </c>
      <c r="C97" s="84">
        <v>386.51127944682275</v>
      </c>
      <c r="D97" s="5">
        <v>1</v>
      </c>
    </row>
    <row r="98" spans="1:4">
      <c r="A98" s="4">
        <v>60</v>
      </c>
      <c r="B98" s="71">
        <v>2534.7961652624972</v>
      </c>
      <c r="C98" s="120">
        <v>429.45697716313634</v>
      </c>
      <c r="D98" s="5">
        <v>1</v>
      </c>
    </row>
    <row r="99" spans="1:4">
      <c r="A99" s="4">
        <v>61</v>
      </c>
      <c r="B99" s="71">
        <v>2577.7418629788108</v>
      </c>
      <c r="C99" s="121">
        <v>472.40267487944993</v>
      </c>
      <c r="D99" s="5">
        <v>1</v>
      </c>
    </row>
    <row r="100" spans="1:4">
      <c r="A100" s="4">
        <v>62</v>
      </c>
      <c r="B100" s="71">
        <v>2620.6875606951244</v>
      </c>
      <c r="C100" s="121">
        <v>515.34837259576352</v>
      </c>
      <c r="D100" s="5">
        <v>1</v>
      </c>
    </row>
    <row r="101" spans="1:4">
      <c r="A101" s="4">
        <v>63</v>
      </c>
      <c r="B101" s="71">
        <v>2663.633258411438</v>
      </c>
      <c r="C101" s="121">
        <v>558.29407031207711</v>
      </c>
      <c r="D101" s="5">
        <v>1</v>
      </c>
    </row>
    <row r="102" spans="1:4">
      <c r="A102" s="4">
        <v>64</v>
      </c>
      <c r="B102" s="71">
        <v>2706.5789561277516</v>
      </c>
      <c r="C102" s="121">
        <v>601.2397680283907</v>
      </c>
      <c r="D102" s="5">
        <v>1</v>
      </c>
    </row>
    <row r="103" spans="1:4">
      <c r="A103" s="4">
        <v>65</v>
      </c>
      <c r="B103" s="71">
        <v>2749.5246538440651</v>
      </c>
      <c r="C103" s="121">
        <v>644.18546574470429</v>
      </c>
      <c r="D103" s="5">
        <v>1</v>
      </c>
    </row>
    <row r="104" spans="1:4">
      <c r="A104" s="4">
        <v>66</v>
      </c>
      <c r="B104" s="71">
        <v>2792.4703515603787</v>
      </c>
      <c r="C104" s="121">
        <v>687.13116346101788</v>
      </c>
      <c r="D104" s="122">
        <v>1</v>
      </c>
    </row>
    <row r="105" spans="1:4">
      <c r="A105" s="4">
        <v>67</v>
      </c>
      <c r="B105" s="71">
        <v>2835.4160492766923</v>
      </c>
      <c r="C105" s="121">
        <v>730.07686117733147</v>
      </c>
      <c r="D105" s="5">
        <v>1</v>
      </c>
    </row>
    <row r="106" spans="1:4">
      <c r="A106" s="4">
        <v>68</v>
      </c>
      <c r="B106" s="71">
        <v>2878.3617469930059</v>
      </c>
      <c r="C106" s="121">
        <v>773.02255889364505</v>
      </c>
      <c r="D106" s="5">
        <v>1</v>
      </c>
    </row>
    <row r="107" spans="1:4">
      <c r="A107" s="4">
        <v>69</v>
      </c>
      <c r="B107" s="71">
        <v>2921.3074447093195</v>
      </c>
      <c r="C107" s="121">
        <v>815.96825660995864</v>
      </c>
      <c r="D107" s="5">
        <v>1</v>
      </c>
    </row>
    <row r="108" spans="1:4">
      <c r="A108" s="4">
        <v>70</v>
      </c>
      <c r="B108" s="71">
        <v>2964.2531424256331</v>
      </c>
      <c r="C108" s="121">
        <v>858.91395432627223</v>
      </c>
      <c r="D108" s="5">
        <v>1</v>
      </c>
    </row>
    <row r="109" spans="1:4">
      <c r="A109" s="4">
        <v>71</v>
      </c>
      <c r="B109" s="71">
        <v>3007.1988401419467</v>
      </c>
      <c r="C109" s="121">
        <v>901.85965204258582</v>
      </c>
      <c r="D109" s="5">
        <v>1</v>
      </c>
    </row>
    <row r="110" spans="1:4">
      <c r="A110" s="4">
        <v>72</v>
      </c>
      <c r="B110" s="71">
        <v>3050.1445378582603</v>
      </c>
      <c r="C110" s="121">
        <v>944.80534975889941</v>
      </c>
      <c r="D110" s="5">
        <v>1</v>
      </c>
    </row>
    <row r="111" spans="1:4">
      <c r="A111" s="4">
        <v>73</v>
      </c>
      <c r="B111" s="71">
        <v>3093.0902355745739</v>
      </c>
      <c r="C111" s="121">
        <v>987.751047475213</v>
      </c>
      <c r="D111" s="5">
        <v>1</v>
      </c>
    </row>
    <row r="112" spans="1:4">
      <c r="A112" s="4">
        <v>74</v>
      </c>
      <c r="B112" s="71">
        <v>3136.0359332908874</v>
      </c>
      <c r="C112" s="121">
        <v>1030.6967451915266</v>
      </c>
      <c r="D112" s="5">
        <v>1</v>
      </c>
    </row>
    <row r="113" spans="1:4">
      <c r="A113" s="4">
        <v>75</v>
      </c>
      <c r="B113" s="71">
        <v>3178.981631007201</v>
      </c>
      <c r="C113" s="121">
        <v>1073.6424429078402</v>
      </c>
      <c r="D113" s="5">
        <v>1</v>
      </c>
    </row>
    <row r="114" spans="1:4">
      <c r="A114" s="4">
        <v>76</v>
      </c>
      <c r="B114" s="71">
        <v>3221.9273287235146</v>
      </c>
      <c r="C114" s="121">
        <v>1116.5881406241538</v>
      </c>
      <c r="D114" s="5">
        <v>1</v>
      </c>
    </row>
    <row r="115" spans="1:4">
      <c r="A115" s="4">
        <v>77</v>
      </c>
      <c r="B115" s="71">
        <v>3264.8730264398282</v>
      </c>
      <c r="C115" s="121">
        <v>1159.5338383404674</v>
      </c>
      <c r="D115" s="5">
        <v>1</v>
      </c>
    </row>
    <row r="116" spans="1:4">
      <c r="A116" s="4">
        <v>78</v>
      </c>
      <c r="B116" s="71">
        <v>3307.8187241561418</v>
      </c>
      <c r="C116" s="121">
        <v>1202.4795360567809</v>
      </c>
      <c r="D116" s="5">
        <v>1</v>
      </c>
    </row>
    <row r="117" spans="1:4">
      <c r="A117" s="4">
        <v>79</v>
      </c>
      <c r="B117" s="71">
        <v>3350.7644218724554</v>
      </c>
      <c r="C117" s="121">
        <v>1245.4252337730945</v>
      </c>
      <c r="D117" s="5">
        <v>1</v>
      </c>
    </row>
    <row r="118" spans="1:4">
      <c r="A118" s="4">
        <v>80</v>
      </c>
      <c r="B118" s="71">
        <v>3393.710119588769</v>
      </c>
      <c r="C118" s="121">
        <v>1288.3709314894081</v>
      </c>
      <c r="D118" s="5">
        <v>1</v>
      </c>
    </row>
    <row r="119" spans="1:4">
      <c r="A119" s="4">
        <v>81</v>
      </c>
      <c r="B119" s="71">
        <v>3436.6558173050826</v>
      </c>
      <c r="C119" s="121">
        <v>1331.3166292057217</v>
      </c>
      <c r="D119" s="5">
        <v>1</v>
      </c>
    </row>
    <row r="120" spans="1:4">
      <c r="A120" s="4">
        <v>82</v>
      </c>
      <c r="B120" s="71">
        <v>3479.6015150213962</v>
      </c>
      <c r="C120" s="121">
        <v>1374.2623269220353</v>
      </c>
      <c r="D120" s="5">
        <v>1</v>
      </c>
    </row>
    <row r="121" spans="1:4">
      <c r="A121" s="4">
        <v>83</v>
      </c>
      <c r="B121" s="71">
        <v>3522.5472127377097</v>
      </c>
      <c r="C121" s="121">
        <v>1417.2080246383489</v>
      </c>
      <c r="D121" s="5">
        <v>1</v>
      </c>
    </row>
    <row r="122" spans="1:4">
      <c r="A122" s="4">
        <v>84</v>
      </c>
      <c r="B122" s="71">
        <v>3565.4929104540233</v>
      </c>
      <c r="C122" s="121">
        <v>1460.1537223546625</v>
      </c>
      <c r="D122" s="5">
        <v>1</v>
      </c>
    </row>
    <row r="123" spans="1:4">
      <c r="A123" s="4">
        <v>85</v>
      </c>
      <c r="B123" s="71">
        <v>3608.4386081703369</v>
      </c>
      <c r="C123" s="121">
        <v>1503.0994200709761</v>
      </c>
      <c r="D123" s="5">
        <v>1</v>
      </c>
    </row>
    <row r="124" spans="1:4">
      <c r="A124" s="4">
        <v>86</v>
      </c>
      <c r="B124" s="71">
        <v>3651.3843058866505</v>
      </c>
      <c r="C124" s="121">
        <v>1546.0451177872897</v>
      </c>
      <c r="D124" s="5">
        <v>1</v>
      </c>
    </row>
    <row r="125" spans="1:4">
      <c r="A125" s="4">
        <v>87</v>
      </c>
      <c r="B125" s="71">
        <v>3694.3300036029641</v>
      </c>
      <c r="C125" s="121">
        <v>1588.9908155036032</v>
      </c>
      <c r="D125" s="5">
        <v>1</v>
      </c>
    </row>
    <row r="126" spans="1:4">
      <c r="A126" s="4">
        <v>88</v>
      </c>
      <c r="B126" s="71">
        <v>3737.2757013192777</v>
      </c>
      <c r="C126" s="121">
        <v>1631.9365132199168</v>
      </c>
      <c r="D126" s="5">
        <v>1</v>
      </c>
    </row>
    <row r="127" spans="1:4">
      <c r="A127" s="4">
        <v>89</v>
      </c>
      <c r="B127" s="71">
        <v>3780.2213990355913</v>
      </c>
      <c r="C127" s="121">
        <v>1674.8822109362304</v>
      </c>
      <c r="D127" s="5">
        <v>1</v>
      </c>
    </row>
    <row r="128" spans="1:4">
      <c r="A128" s="4">
        <v>90</v>
      </c>
      <c r="B128" s="71">
        <v>3823.1670967519049</v>
      </c>
      <c r="C128" s="121">
        <v>1717.827908652544</v>
      </c>
      <c r="D128" s="5">
        <v>1</v>
      </c>
    </row>
    <row r="129" spans="1:4">
      <c r="A129" s="4">
        <v>91</v>
      </c>
      <c r="B129" s="71">
        <v>3866.1127944682185</v>
      </c>
      <c r="C129" s="121">
        <v>1760.7736063688576</v>
      </c>
      <c r="D129" s="5">
        <v>1</v>
      </c>
    </row>
    <row r="130" spans="1:4">
      <c r="A130" s="4">
        <v>92</v>
      </c>
      <c r="B130" s="71">
        <v>3909.058492184532</v>
      </c>
      <c r="C130" s="121">
        <v>1803.7193040851712</v>
      </c>
      <c r="D130" s="5">
        <v>1</v>
      </c>
    </row>
    <row r="131" spans="1:4">
      <c r="A131" s="4">
        <v>93</v>
      </c>
      <c r="B131" s="71">
        <v>3952.0041899008456</v>
      </c>
      <c r="C131" s="121">
        <v>1846.6650018014848</v>
      </c>
      <c r="D131" s="5">
        <v>1</v>
      </c>
    </row>
    <row r="132" spans="1:4">
      <c r="A132" s="4">
        <v>94</v>
      </c>
      <c r="B132" s="71">
        <v>3994.9498876171592</v>
      </c>
      <c r="C132" s="121">
        <v>1889.6106995177984</v>
      </c>
      <c r="D132" s="5">
        <v>1</v>
      </c>
    </row>
    <row r="133" spans="1:4">
      <c r="A133" s="4">
        <v>95</v>
      </c>
      <c r="B133" s="71">
        <v>4037.8955853334728</v>
      </c>
      <c r="C133" s="121">
        <v>1932.556397234112</v>
      </c>
      <c r="D133" s="5">
        <v>1</v>
      </c>
    </row>
    <row r="134" spans="1:4">
      <c r="A134" s="4">
        <v>96</v>
      </c>
      <c r="B134" s="71">
        <v>4080.8412830497864</v>
      </c>
      <c r="C134" s="121">
        <v>1975.5020949504255</v>
      </c>
      <c r="D134" s="5">
        <v>1</v>
      </c>
    </row>
    <row r="135" spans="1:4">
      <c r="A135" s="4">
        <v>97</v>
      </c>
      <c r="B135" s="71">
        <v>4123.7869807661</v>
      </c>
      <c r="C135" s="121">
        <v>2018.4477926667391</v>
      </c>
      <c r="D135" s="5">
        <v>1</v>
      </c>
    </row>
    <row r="136" spans="1:4">
      <c r="A136" s="4">
        <v>98</v>
      </c>
      <c r="B136" s="71">
        <v>4166.7326784824136</v>
      </c>
      <c r="C136" s="121">
        <v>2061.3934903830527</v>
      </c>
      <c r="D136" s="5">
        <v>1</v>
      </c>
    </row>
    <row r="137" spans="1:4">
      <c r="A137" s="4">
        <v>99</v>
      </c>
      <c r="B137" s="71">
        <v>4209.6783761987272</v>
      </c>
      <c r="C137" s="121">
        <v>2104.3391880993663</v>
      </c>
      <c r="D137" s="5">
        <v>1</v>
      </c>
    </row>
    <row r="138" spans="1:4" ht="13.15" thickBot="1">
      <c r="A138" s="31">
        <v>100</v>
      </c>
      <c r="B138" s="72">
        <v>4252.6240739150408</v>
      </c>
      <c r="C138" s="123">
        <v>2147.2848858156799</v>
      </c>
      <c r="D138" s="7">
        <v>1</v>
      </c>
    </row>
    <row r="139" spans="1:4">
      <c r="A139" s="8"/>
      <c r="B139" s="8"/>
      <c r="C139" s="8"/>
      <c r="D139" s="8"/>
    </row>
  </sheetData>
  <mergeCells count="5">
    <mergeCell ref="A5:D5"/>
    <mergeCell ref="E5:J5"/>
    <mergeCell ref="AH81:AO96"/>
    <mergeCell ref="AN38:AX51"/>
    <mergeCell ref="M17:Y33"/>
  </mergeCells>
  <phoneticPr fontId="2" type="noConversion"/>
  <conditionalFormatting sqref="H7:I27">
    <cfRule type="expression" dxfId="3" priority="1" stopIfTrue="1">
      <formula>$J$7=$I7</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73" r:id="rId4" name="List Box 25">
              <controlPr defaultSize="0" autoLine="0" autoPict="0">
                <anchor moveWithCells="1">
                  <from>
                    <xdr:col>4</xdr:col>
                    <xdr:colOff>61913</xdr:colOff>
                    <xdr:row>8</xdr:row>
                    <xdr:rowOff>0</xdr:rowOff>
                  </from>
                  <to>
                    <xdr:col>5</xdr:col>
                    <xdr:colOff>319088</xdr:colOff>
                    <xdr:row>26</xdr:row>
                    <xdr:rowOff>114300</xdr:rowOff>
                  </to>
                </anchor>
              </controlPr>
            </control>
          </mc:Choice>
        </mc:AlternateContent>
        <mc:AlternateContent xmlns:mc="http://schemas.openxmlformats.org/markup-compatibility/2006">
          <mc:Choice Requires="x14">
            <control shapeId="2078" r:id="rId5" name="Button 30">
              <controlPr defaultSize="0" print="0" autoFill="0" autoPict="0" macro="[0]!calc">
                <anchor moveWithCells="1">
                  <from>
                    <xdr:col>20</xdr:col>
                    <xdr:colOff>214313</xdr:colOff>
                    <xdr:row>7</xdr:row>
                    <xdr:rowOff>0</xdr:rowOff>
                  </from>
                  <to>
                    <xdr:col>21</xdr:col>
                    <xdr:colOff>228600</xdr:colOff>
                    <xdr:row>8</xdr:row>
                    <xdr:rowOff>52388</xdr:rowOff>
                  </to>
                </anchor>
              </controlPr>
            </control>
          </mc:Choice>
        </mc:AlternateContent>
        <mc:AlternateContent xmlns:mc="http://schemas.openxmlformats.org/markup-compatibility/2006">
          <mc:Choice Requires="x14">
            <control shapeId="2080" r:id="rId6" name="Button 32">
              <controlPr defaultSize="0" print="0" autoFill="0" autoPict="0" macro="[0]!super">
                <anchor moveWithCells="1">
                  <from>
                    <xdr:col>20</xdr:col>
                    <xdr:colOff>328613</xdr:colOff>
                    <xdr:row>13</xdr:row>
                    <xdr:rowOff>76200</xdr:rowOff>
                  </from>
                  <to>
                    <xdr:col>21</xdr:col>
                    <xdr:colOff>242888</xdr:colOff>
                    <xdr:row>14</xdr:row>
                    <xdr:rowOff>128588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____4"/>
  <dimension ref="A1:AC115"/>
  <sheetViews>
    <sheetView tabSelected="1" zoomScale="110" zoomScaleNormal="110" workbookViewId="0">
      <selection activeCell="J11" sqref="J11"/>
    </sheetView>
  </sheetViews>
  <sheetFormatPr defaultColWidth="8.796875" defaultRowHeight="12.75"/>
  <cols>
    <col min="1" max="1" width="5.796875" customWidth="1"/>
    <col min="2" max="2" width="7.1328125" customWidth="1"/>
    <col min="3" max="3" width="7.33203125" customWidth="1"/>
    <col min="4" max="4" width="8" customWidth="1"/>
    <col min="5" max="5" width="7.33203125" customWidth="1"/>
    <col min="6" max="6" width="11" customWidth="1"/>
    <col min="7" max="7" width="12.33203125" customWidth="1"/>
    <col min="8" max="8" width="12.1328125" customWidth="1"/>
    <col min="9" max="9" width="13.33203125" bestFit="1" customWidth="1"/>
    <col min="10" max="10" width="10.796875" customWidth="1"/>
    <col min="12" max="12" width="11" bestFit="1" customWidth="1"/>
    <col min="13" max="13" width="9.33203125" customWidth="1"/>
  </cols>
  <sheetData>
    <row r="1" spans="1:29" ht="17.25">
      <c r="A1" s="3" t="s">
        <v>20</v>
      </c>
      <c r="B1" s="1"/>
      <c r="C1" s="1"/>
      <c r="D1" s="1"/>
      <c r="E1" s="1"/>
      <c r="F1" s="1"/>
      <c r="G1" s="1"/>
      <c r="H1" s="1"/>
      <c r="I1" s="1"/>
      <c r="J1" s="1"/>
      <c r="K1" s="1"/>
      <c r="L1" s="1"/>
      <c r="M1" s="1"/>
      <c r="N1" s="1"/>
    </row>
    <row r="2" spans="1:29">
      <c r="A2" s="1" t="s">
        <v>10</v>
      </c>
      <c r="B2" s="1"/>
      <c r="C2" s="1"/>
      <c r="D2" s="1"/>
      <c r="E2" s="1"/>
      <c r="F2" s="1"/>
      <c r="G2" s="1"/>
      <c r="H2" s="1"/>
      <c r="I2" s="1"/>
      <c r="J2" s="1"/>
      <c r="K2" s="1"/>
      <c r="L2" s="1"/>
      <c r="M2" s="1"/>
      <c r="N2" s="1"/>
    </row>
    <row r="3" spans="1:29" ht="16.5" customHeight="1">
      <c r="A3" s="118" t="s">
        <v>24</v>
      </c>
      <c r="B3" s="1"/>
      <c r="C3" s="1"/>
      <c r="D3" s="1"/>
      <c r="E3" s="1"/>
      <c r="F3" s="1"/>
      <c r="G3" s="1"/>
      <c r="H3" s="1"/>
      <c r="I3" s="1"/>
      <c r="J3" s="1"/>
      <c r="K3" s="1"/>
      <c r="L3" s="1"/>
      <c r="M3" s="1"/>
      <c r="N3" s="1"/>
    </row>
    <row r="4" spans="1:29" ht="38.25">
      <c r="A4" s="1"/>
      <c r="B4" s="1"/>
      <c r="C4" s="1"/>
      <c r="D4" s="1"/>
      <c r="E4" s="1"/>
      <c r="F4" s="1"/>
      <c r="G4" s="1" t="s">
        <v>17</v>
      </c>
      <c r="H4" s="118"/>
      <c r="I4" s="10" t="s">
        <v>26</v>
      </c>
      <c r="J4" s="20" t="s">
        <v>16</v>
      </c>
      <c r="K4" s="13" t="s">
        <v>28</v>
      </c>
      <c r="L4" s="21" t="s">
        <v>45</v>
      </c>
      <c r="M4" s="21" t="s">
        <v>23</v>
      </c>
      <c r="N4" s="1"/>
    </row>
    <row r="5" spans="1:29" ht="18" customHeight="1">
      <c r="A5" s="3" t="s">
        <v>25</v>
      </c>
      <c r="B5" s="1"/>
      <c r="C5" s="1"/>
      <c r="D5" s="1"/>
      <c r="E5" s="1"/>
      <c r="F5" s="1"/>
      <c r="G5" s="1" t="s">
        <v>18</v>
      </c>
      <c r="H5" s="9">
        <v>0</v>
      </c>
      <c r="I5" s="9">
        <f>INDEX(G10:G20,N5)</f>
        <v>0.01</v>
      </c>
      <c r="J5" s="9">
        <f>INDEX(sheet5!H27:H86,O5)</f>
        <v>1.0000000000031264</v>
      </c>
      <c r="K5" s="22">
        <f ca="1">2*ABS(N7)/(ABS(B7)+I5)</f>
        <v>4.2842924161756065E-16</v>
      </c>
      <c r="L5" s="116">
        <f ca="1">M5*(B7-2*B7*sheet1!E5+2*sheet1!D5*sheet1!E5)/B7^(2*sheet1!E5+1)</f>
        <v>-3.7849397944550842E+17</v>
      </c>
      <c r="M5" s="39">
        <f>sheet1!B5/(1+sheet1!C5)^(2*sheet1!E5)</f>
        <v>8.4053152720951695E+49</v>
      </c>
      <c r="N5" s="9">
        <v>2</v>
      </c>
      <c r="O5" s="49">
        <v>1</v>
      </c>
    </row>
    <row r="6" spans="1:29" ht="36.75" customHeight="1">
      <c r="A6" s="11" t="s">
        <v>19</v>
      </c>
      <c r="B6" s="11" t="s">
        <v>1</v>
      </c>
      <c r="C6" s="11" t="s">
        <v>2</v>
      </c>
      <c r="D6" s="11" t="s">
        <v>3</v>
      </c>
      <c r="E6" s="12" t="s">
        <v>15</v>
      </c>
      <c r="F6" s="11" t="s">
        <v>14</v>
      </c>
      <c r="G6" s="11" t="s">
        <v>13</v>
      </c>
      <c r="H6" s="12" t="s">
        <v>8</v>
      </c>
      <c r="I6" s="12" t="s">
        <v>6</v>
      </c>
      <c r="J6" s="12" t="s">
        <v>9</v>
      </c>
      <c r="K6" s="11" t="s">
        <v>11</v>
      </c>
      <c r="L6" s="13" t="s">
        <v>21</v>
      </c>
      <c r="M6" s="13" t="s">
        <v>22</v>
      </c>
      <c r="N6" s="13" t="s">
        <v>27</v>
      </c>
    </row>
    <row r="7" spans="1:29" ht="54.75" customHeight="1">
      <c r="A7" s="14">
        <f ca="1">IF(H5=1,0,A7+1)</f>
        <v>8700</v>
      </c>
      <c r="B7" s="15">
        <f ca="1">IF(A7=0,IF(J5&lt;=0,I5,J5),IF(ABS(L7)&lt;=I5,B7,IF((B7-(L7/M7))&lt;0,I5,B7-(L7/M7))))</f>
        <v>2001.9313466616909</v>
      </c>
      <c r="C7" s="33">
        <f ca="1">IF((B7+B7*sheet1!C5)&lt;=0,I5,sheet1!B5/(B7+B7*sheet1!C5)^(2*sheet1!E5))</f>
        <v>4.1656040463876755E+32</v>
      </c>
      <c r="D7" s="33">
        <f ca="1">C7*(B7-sheet1!D5)</f>
        <v>1.5909747630962336E+35</v>
      </c>
      <c r="E7" s="33">
        <f ca="1">C7*sheet1!D5</f>
        <v>6.7482785551480345E+35</v>
      </c>
      <c r="F7" s="16" t="str">
        <f ca="1">IF(A7=0,"Исходное состояние",IF(ABS(K5)&lt;I5,"Решение найдено","Продолжайте поиск"))</f>
        <v>Решение найдено</v>
      </c>
      <c r="G7" s="17">
        <f ca="1">IF(A7=0,B7,IF(ABS(K5)&lt;I5,G7,B7))</f>
        <v>1998.7641796588323</v>
      </c>
      <c r="H7" s="17">
        <f ca="1">IF(A7=0,C7,IF(ABS(K5)&lt;I5,H7,C7))</f>
        <v>4.2003185355349217E+32</v>
      </c>
      <c r="I7" s="17">
        <f ca="1">IF(A7=0,D7,IF(ABS(K5)&lt;I5,I7,D7))</f>
        <v>1.5909302044176723E+35</v>
      </c>
      <c r="J7" s="17">
        <f ca="1">IF(A7=0,E7,IF(ABS(K5)&lt;I5,J7,E7))</f>
        <v>6.8045160275665735E+35</v>
      </c>
      <c r="K7" s="18">
        <f ca="1">IF(A7=0,0,IF(ABS(K5)&lt;I5,K7,A7))</f>
        <v>55</v>
      </c>
      <c r="L7" s="34">
        <f ca="1">M5*(B7-2*sheet1!E5*B7+2*sheet1!D5*sheet1!E5)/B7^(2*sheet1!E5+1)</f>
        <v>3.7849397944550842E+17</v>
      </c>
      <c r="M7" s="116">
        <f ca="1">(M5*(1-2*sheet1!E5)*B7^(2*sheet1!E5+1)-M5*(1+2*sheet1!E5)*(B7-2*sheet1!E5*B7+2*sheet1!E5*sheet1!D5)*B7^(2*sheet1!E5))/B7^(4*sheet1!E5+2)</f>
        <v>-8.825890134853505E+29</v>
      </c>
      <c r="N7" s="22">
        <f ca="1">L7/M7</f>
        <v>-4.288451064565521E-13</v>
      </c>
    </row>
    <row r="8" spans="1:29" ht="13.15" thickBot="1">
      <c r="F8">
        <f ca="1">IF(ABS(K5)&lt;I5, 1, 0)</f>
        <v>1</v>
      </c>
      <c r="K8">
        <v>1000</v>
      </c>
    </row>
    <row r="9" spans="1:29" ht="25.9" thickBot="1">
      <c r="G9" s="48" t="s">
        <v>12</v>
      </c>
    </row>
    <row r="10" spans="1:29">
      <c r="A10" s="8"/>
      <c r="B10" s="8">
        <v>0.40625</v>
      </c>
      <c r="C10" s="8">
        <v>4.6875E-2</v>
      </c>
      <c r="D10" s="8"/>
      <c r="E10" s="8"/>
      <c r="F10" s="8"/>
      <c r="G10" s="40">
        <v>0.1</v>
      </c>
      <c r="H10" s="8"/>
      <c r="I10" s="8"/>
      <c r="J10" s="8"/>
      <c r="K10" s="8"/>
      <c r="L10" s="8"/>
      <c r="M10" s="8"/>
      <c r="N10" s="8"/>
      <c r="O10" s="8"/>
      <c r="P10" s="8"/>
      <c r="Q10" s="8"/>
      <c r="R10" s="8"/>
      <c r="S10" s="8"/>
      <c r="T10" s="8"/>
      <c r="U10" s="8"/>
      <c r="V10" s="8"/>
      <c r="W10" s="8"/>
      <c r="X10" s="8"/>
      <c r="Y10" s="8"/>
      <c r="Z10" s="8"/>
      <c r="AA10" s="8"/>
      <c r="AB10" s="8"/>
      <c r="AC10" s="8"/>
    </row>
    <row r="11" spans="1:29">
      <c r="A11" s="8"/>
      <c r="B11" s="8"/>
      <c r="C11" s="8"/>
      <c r="D11" s="8"/>
      <c r="E11" s="8"/>
      <c r="F11" s="8"/>
      <c r="G11" s="40">
        <v>0.01</v>
      </c>
      <c r="H11" s="8"/>
      <c r="I11" s="8"/>
      <c r="K11" s="8"/>
      <c r="L11" s="8"/>
      <c r="M11" s="8"/>
      <c r="N11" s="8"/>
      <c r="O11" s="8"/>
      <c r="P11" s="8"/>
      <c r="Q11" s="8"/>
      <c r="R11" s="8"/>
      <c r="S11" s="8"/>
      <c r="T11" s="8"/>
      <c r="U11" s="8"/>
      <c r="V11" s="8"/>
      <c r="W11" s="8"/>
      <c r="X11" s="8"/>
      <c r="Y11" s="8"/>
      <c r="Z11" s="8"/>
      <c r="AA11" s="8"/>
      <c r="AB11" s="8"/>
      <c r="AC11" s="8"/>
    </row>
    <row r="12" spans="1:29">
      <c r="A12" s="8"/>
      <c r="B12" s="8"/>
      <c r="C12" s="8"/>
      <c r="D12" s="8"/>
      <c r="E12" s="8"/>
      <c r="F12" s="8"/>
      <c r="G12" s="40">
        <v>1.0000000000000002E-3</v>
      </c>
      <c r="H12" s="8"/>
      <c r="I12" s="8"/>
      <c r="K12" s="8"/>
      <c r="L12" s="8"/>
      <c r="M12" s="8"/>
      <c r="N12" s="19"/>
      <c r="O12" s="8"/>
      <c r="P12" s="8"/>
      <c r="Q12" s="8"/>
      <c r="R12" s="8"/>
      <c r="S12" s="8"/>
      <c r="T12" s="8"/>
      <c r="U12" s="8"/>
      <c r="V12" s="8"/>
      <c r="W12" s="8"/>
      <c r="X12" s="8"/>
      <c r="Y12" s="8"/>
      <c r="Z12" s="8"/>
      <c r="AA12" s="8"/>
      <c r="AB12" s="8"/>
      <c r="AC12" s="8"/>
    </row>
    <row r="13" spans="1:29">
      <c r="A13" s="8"/>
      <c r="B13" s="8"/>
      <c r="C13" s="8"/>
      <c r="D13" s="8"/>
      <c r="E13" s="8"/>
      <c r="F13" s="8"/>
      <c r="G13" s="40">
        <v>1.0000000000000003E-4</v>
      </c>
      <c r="H13" s="8"/>
      <c r="I13" s="8"/>
      <c r="K13" s="8"/>
      <c r="L13" s="8"/>
      <c r="M13" s="8"/>
      <c r="N13" s="19"/>
      <c r="O13" s="8"/>
      <c r="P13" s="8"/>
      <c r="Q13" s="8"/>
      <c r="R13" s="8"/>
      <c r="S13" s="8"/>
      <c r="T13" s="8"/>
      <c r="U13" s="8"/>
      <c r="V13" s="8"/>
      <c r="W13" s="8"/>
      <c r="X13" s="8"/>
      <c r="Y13" s="8"/>
      <c r="Z13" s="8"/>
      <c r="AA13" s="8"/>
      <c r="AB13" s="8"/>
      <c r="AC13" s="8"/>
    </row>
    <row r="14" spans="1:29">
      <c r="A14" s="8"/>
      <c r="B14" s="8"/>
      <c r="C14" s="8"/>
      <c r="D14" s="8"/>
      <c r="E14" s="8"/>
      <c r="F14" s="8"/>
      <c r="G14" s="40">
        <v>1.0000000000000006E-5</v>
      </c>
      <c r="H14" s="8"/>
      <c r="I14" s="8"/>
      <c r="J14" s="8"/>
      <c r="K14" s="8"/>
      <c r="L14" s="8"/>
      <c r="M14" s="8"/>
      <c r="N14" s="19"/>
      <c r="O14" s="8"/>
      <c r="P14" s="8"/>
      <c r="Q14" s="8"/>
      <c r="R14" s="8"/>
      <c r="S14" s="8"/>
      <c r="T14" s="8"/>
      <c r="U14" s="8"/>
      <c r="V14" s="8"/>
      <c r="W14" s="8"/>
      <c r="X14" s="8"/>
      <c r="Y14" s="8"/>
      <c r="Z14" s="8"/>
      <c r="AA14" s="8"/>
      <c r="AB14" s="8"/>
      <c r="AC14" s="8"/>
    </row>
    <row r="15" spans="1:29">
      <c r="A15" s="8"/>
      <c r="B15" s="8"/>
      <c r="C15" s="8"/>
      <c r="D15" s="8"/>
      <c r="E15" s="8"/>
      <c r="F15" s="8"/>
      <c r="G15" s="40">
        <v>1.0000000000000006E-6</v>
      </c>
      <c r="H15" s="8"/>
      <c r="I15" s="8"/>
      <c r="J15" s="8"/>
      <c r="K15" s="8"/>
      <c r="L15" s="8"/>
      <c r="M15" s="8"/>
      <c r="N15" s="19"/>
      <c r="O15" s="8"/>
      <c r="P15" s="8"/>
      <c r="Q15" s="8"/>
      <c r="R15" s="8"/>
      <c r="S15" s="8"/>
      <c r="T15" s="8"/>
      <c r="U15" s="8"/>
      <c r="V15" s="8"/>
      <c r="W15" s="8"/>
      <c r="X15" s="8"/>
      <c r="Y15" s="8"/>
      <c r="Z15" s="8"/>
      <c r="AA15" s="8"/>
      <c r="AB15" s="8"/>
      <c r="AC15" s="8"/>
    </row>
    <row r="16" spans="1:29">
      <c r="A16" s="8"/>
      <c r="B16" s="8"/>
      <c r="C16" s="8"/>
      <c r="D16" s="8"/>
      <c r="E16" s="8"/>
      <c r="F16" s="8"/>
      <c r="G16" s="40">
        <v>1.0000000000000006E-7</v>
      </c>
      <c r="H16" s="8"/>
      <c r="I16" s="8"/>
      <c r="J16" s="8"/>
      <c r="K16" s="8"/>
      <c r="L16" s="8"/>
      <c r="M16" s="8"/>
      <c r="N16" s="19"/>
      <c r="O16" s="8"/>
      <c r="P16" s="8"/>
      <c r="Q16" s="8"/>
      <c r="R16" s="8"/>
      <c r="S16" s="8"/>
      <c r="T16" s="8"/>
      <c r="U16" s="8"/>
      <c r="V16" s="8"/>
      <c r="W16" s="8"/>
      <c r="X16" s="8"/>
      <c r="Y16" s="8"/>
      <c r="Z16" s="8"/>
      <c r="AA16" s="8"/>
      <c r="AB16" s="8"/>
      <c r="AC16" s="8"/>
    </row>
    <row r="17" spans="1:29">
      <c r="A17" s="8"/>
      <c r="B17" s="8"/>
      <c r="C17" s="8"/>
      <c r="D17" s="8"/>
      <c r="E17" s="8"/>
      <c r="F17" s="8"/>
      <c r="G17" s="40">
        <v>1.0000000000000008E-8</v>
      </c>
      <c r="H17" s="8"/>
      <c r="I17" s="8"/>
      <c r="J17" s="8"/>
      <c r="K17" s="8"/>
      <c r="L17" s="8"/>
      <c r="M17" s="8"/>
      <c r="N17" s="19"/>
      <c r="O17" s="8"/>
      <c r="P17" s="8"/>
      <c r="Q17" s="8"/>
      <c r="R17" s="8"/>
      <c r="S17" s="8"/>
      <c r="T17" s="8"/>
      <c r="U17" s="8"/>
      <c r="V17" s="8"/>
      <c r="W17" s="8"/>
      <c r="X17" s="8"/>
      <c r="Y17" s="8"/>
      <c r="Z17" s="8"/>
      <c r="AA17" s="8"/>
      <c r="AB17" s="8"/>
      <c r="AC17" s="8"/>
    </row>
    <row r="18" spans="1:29">
      <c r="A18" s="8"/>
      <c r="B18" s="8"/>
      <c r="C18" s="8"/>
      <c r="D18" s="8"/>
      <c r="E18" s="8"/>
      <c r="F18" s="8"/>
      <c r="G18" s="40">
        <v>1.0000000000000009E-9</v>
      </c>
      <c r="H18" s="8"/>
      <c r="I18" s="8"/>
      <c r="J18" s="8"/>
      <c r="K18" s="8"/>
      <c r="L18" s="8"/>
      <c r="M18" s="8"/>
      <c r="N18" s="19"/>
      <c r="O18" s="8"/>
      <c r="P18" s="8"/>
      <c r="Q18" s="8"/>
      <c r="R18" s="8"/>
      <c r="S18" s="8"/>
      <c r="T18" s="8"/>
      <c r="U18" s="8"/>
      <c r="V18" s="8"/>
      <c r="W18" s="8"/>
      <c r="X18" s="8"/>
      <c r="Y18" s="8"/>
      <c r="Z18" s="8"/>
      <c r="AA18" s="8"/>
      <c r="AB18" s="8"/>
      <c r="AC18" s="8"/>
    </row>
    <row r="19" spans="1:29" ht="10.5" customHeight="1">
      <c r="A19" s="8"/>
      <c r="B19" s="8"/>
      <c r="C19" s="8"/>
      <c r="D19" s="8"/>
      <c r="E19" s="8"/>
      <c r="F19" s="8"/>
      <c r="G19" s="40">
        <v>1.0000000000000009E-10</v>
      </c>
      <c r="H19" s="8"/>
      <c r="I19" s="8"/>
      <c r="J19" s="8"/>
      <c r="K19" s="8"/>
      <c r="L19" s="8"/>
      <c r="M19" s="8"/>
      <c r="N19" s="19"/>
      <c r="O19" s="8"/>
      <c r="P19" s="8"/>
      <c r="Q19" s="8"/>
      <c r="R19" s="8"/>
      <c r="S19" s="8"/>
      <c r="T19" s="8"/>
      <c r="U19" s="8"/>
      <c r="V19" s="8"/>
      <c r="W19" s="8"/>
      <c r="X19" s="8"/>
      <c r="Y19" s="8"/>
      <c r="Z19" s="8"/>
      <c r="AA19" s="8"/>
      <c r="AB19" s="8"/>
      <c r="AC19" s="8"/>
    </row>
    <row r="20" spans="1:29">
      <c r="A20" s="8"/>
      <c r="B20" s="8"/>
      <c r="C20" s="8"/>
      <c r="D20" s="8"/>
      <c r="E20" s="8"/>
      <c r="F20" s="8"/>
      <c r="G20" s="40">
        <v>1.0000000000000011E-11</v>
      </c>
      <c r="H20" s="8"/>
      <c r="I20" s="8"/>
      <c r="J20" s="8"/>
      <c r="K20" s="8"/>
      <c r="L20" s="8"/>
      <c r="M20" s="8"/>
      <c r="N20" s="19"/>
      <c r="O20" s="8"/>
      <c r="P20" s="8"/>
      <c r="Q20" s="8"/>
      <c r="R20" s="8"/>
      <c r="S20" s="8"/>
      <c r="T20" s="8"/>
      <c r="U20" s="8"/>
      <c r="V20" s="8"/>
      <c r="W20" s="8"/>
      <c r="X20" s="8"/>
    </row>
    <row r="21" spans="1:29" ht="14.25" customHeight="1"/>
    <row r="22" spans="1:29" ht="15.75" customHeight="1"/>
    <row r="23" spans="1:29">
      <c r="A23" s="8"/>
      <c r="B23" s="8"/>
      <c r="C23" s="8"/>
      <c r="D23" s="8"/>
      <c r="E23" s="8"/>
      <c r="F23" s="8"/>
      <c r="G23" s="8"/>
      <c r="H23" s="8"/>
      <c r="I23" s="8"/>
      <c r="J23" s="8"/>
      <c r="K23" s="8"/>
      <c r="L23" s="8"/>
      <c r="M23" s="8"/>
      <c r="N23" s="19"/>
      <c r="O23" s="8"/>
      <c r="P23" s="8"/>
      <c r="Q23" s="8"/>
      <c r="R23" s="8"/>
      <c r="S23" s="8"/>
      <c r="T23" s="8"/>
      <c r="U23" s="8"/>
      <c r="V23" s="8"/>
      <c r="W23" s="8"/>
      <c r="X23" s="8"/>
    </row>
    <row r="24" spans="1:29">
      <c r="A24" s="8"/>
      <c r="B24" s="8"/>
      <c r="C24" s="8"/>
      <c r="D24" s="8"/>
      <c r="E24" s="8"/>
      <c r="F24" s="8"/>
      <c r="G24" s="8"/>
      <c r="H24" s="8"/>
      <c r="I24" s="8"/>
      <c r="J24" s="8"/>
      <c r="K24" s="8"/>
      <c r="L24" s="8"/>
      <c r="M24" s="8"/>
      <c r="N24" s="19"/>
      <c r="O24" s="8"/>
      <c r="P24" s="8"/>
      <c r="Q24" s="8"/>
      <c r="R24" s="8"/>
      <c r="S24" s="8"/>
      <c r="T24" s="8"/>
      <c r="U24" s="8"/>
      <c r="V24" s="8"/>
      <c r="W24" s="8"/>
      <c r="X24" s="8"/>
    </row>
    <row r="25" spans="1:29">
      <c r="A25" s="8"/>
      <c r="B25" s="8"/>
      <c r="C25" s="8"/>
      <c r="D25" s="8"/>
      <c r="E25" s="8"/>
      <c r="F25" s="8"/>
      <c r="G25" s="8"/>
      <c r="H25" s="8"/>
      <c r="I25" s="8"/>
      <c r="J25" s="8"/>
      <c r="K25" s="8"/>
      <c r="L25" s="8"/>
      <c r="M25" s="8"/>
      <c r="N25" s="19"/>
      <c r="O25" s="8"/>
      <c r="P25" s="8"/>
      <c r="Q25" s="8"/>
      <c r="R25" s="8"/>
      <c r="S25" s="8"/>
      <c r="T25" s="8"/>
      <c r="U25" s="8"/>
      <c r="V25" s="8"/>
      <c r="W25" s="8"/>
      <c r="X25" s="8"/>
    </row>
    <row r="26" spans="1:29">
      <c r="A26" s="8"/>
      <c r="B26" s="8"/>
      <c r="C26" s="8"/>
      <c r="D26" s="8"/>
      <c r="E26" s="8"/>
      <c r="F26" s="8"/>
      <c r="G26" s="8"/>
      <c r="H26" s="8"/>
      <c r="I26" s="8"/>
      <c r="J26" s="8"/>
      <c r="K26" s="8"/>
      <c r="L26" s="8"/>
      <c r="M26" s="8"/>
      <c r="N26" s="19"/>
      <c r="O26" s="8"/>
      <c r="P26" s="8"/>
      <c r="Q26" s="8"/>
      <c r="R26" s="8"/>
      <c r="S26" s="8"/>
      <c r="T26" s="8"/>
      <c r="U26" s="8"/>
      <c r="V26" s="8"/>
      <c r="W26" s="8"/>
      <c r="X26" s="8"/>
    </row>
    <row r="27" spans="1:29">
      <c r="A27" s="8"/>
      <c r="B27" s="8"/>
      <c r="C27" s="8"/>
      <c r="D27" s="8"/>
      <c r="E27" s="8"/>
      <c r="F27" s="8"/>
      <c r="G27" s="8"/>
      <c r="H27" s="8"/>
      <c r="I27" s="8"/>
      <c r="J27" s="8"/>
      <c r="K27" s="8"/>
      <c r="L27" s="8"/>
      <c r="M27" s="8"/>
      <c r="N27" s="19"/>
      <c r="O27" s="8"/>
      <c r="P27" s="8"/>
      <c r="Q27" s="8"/>
      <c r="R27" s="8"/>
      <c r="S27" s="8"/>
      <c r="T27" s="8"/>
      <c r="U27" s="8"/>
      <c r="V27" s="8"/>
      <c r="W27" s="8"/>
      <c r="X27" s="8"/>
    </row>
    <row r="28" spans="1:29">
      <c r="A28" s="8"/>
      <c r="B28" s="8"/>
      <c r="C28" s="8"/>
      <c r="D28" s="8"/>
      <c r="E28" s="8"/>
      <c r="F28" s="8"/>
      <c r="G28" s="8"/>
      <c r="H28" s="8"/>
      <c r="I28" s="8"/>
      <c r="J28" s="8"/>
      <c r="K28" s="8"/>
      <c r="L28" s="8"/>
      <c r="M28" s="8"/>
      <c r="N28" s="19"/>
      <c r="O28" s="8"/>
      <c r="P28" s="8"/>
      <c r="Q28" s="8"/>
      <c r="R28" s="8"/>
      <c r="S28" s="8"/>
      <c r="T28" s="8"/>
      <c r="U28" s="8"/>
      <c r="V28" s="8"/>
      <c r="W28" s="8"/>
      <c r="X28" s="8"/>
    </row>
    <row r="29" spans="1:29">
      <c r="A29" s="8"/>
      <c r="B29" s="8"/>
      <c r="C29" s="8"/>
      <c r="D29" s="8"/>
      <c r="E29" s="8"/>
      <c r="F29" s="8"/>
      <c r="G29" s="8"/>
      <c r="H29" s="8"/>
      <c r="I29" s="8"/>
      <c r="J29" s="8"/>
      <c r="K29" s="8"/>
      <c r="L29" s="8"/>
      <c r="M29" s="8"/>
      <c r="N29" s="19"/>
      <c r="O29" s="8"/>
      <c r="P29" s="8"/>
      <c r="Q29" s="8"/>
      <c r="R29" s="8"/>
      <c r="S29" s="8"/>
      <c r="T29" s="8"/>
      <c r="U29" s="8"/>
      <c r="V29" s="8"/>
      <c r="W29" s="8"/>
      <c r="X29" s="8"/>
    </row>
    <row r="30" spans="1:29">
      <c r="A30" s="8"/>
      <c r="B30" s="8"/>
      <c r="C30" s="8"/>
      <c r="D30" s="8"/>
      <c r="E30" s="8"/>
      <c r="F30" s="8"/>
      <c r="G30" s="8"/>
      <c r="H30" s="8"/>
      <c r="I30" s="8"/>
      <c r="J30" s="8"/>
      <c r="K30" s="8"/>
      <c r="L30" s="8"/>
      <c r="M30" s="8"/>
      <c r="N30" s="19"/>
      <c r="O30" s="8"/>
      <c r="P30" s="8"/>
      <c r="Q30" s="8"/>
      <c r="R30" s="8"/>
      <c r="S30" s="8"/>
      <c r="T30" s="8"/>
      <c r="U30" s="8"/>
      <c r="V30" s="8"/>
      <c r="W30" s="8"/>
      <c r="X30" s="8"/>
    </row>
    <row r="31" spans="1:29">
      <c r="A31" s="8"/>
      <c r="B31" s="8"/>
      <c r="C31" s="8"/>
      <c r="D31" s="8"/>
      <c r="E31" s="8"/>
      <c r="F31" s="8"/>
      <c r="G31" s="8"/>
      <c r="H31" s="8"/>
      <c r="I31" s="8"/>
      <c r="J31" s="8"/>
      <c r="K31" s="8"/>
      <c r="L31" s="8"/>
      <c r="M31" s="8"/>
      <c r="N31" s="19"/>
      <c r="O31" s="8"/>
      <c r="P31" s="8"/>
      <c r="Q31" s="8"/>
      <c r="R31" s="8"/>
      <c r="S31" s="8"/>
      <c r="T31" s="8"/>
      <c r="U31" s="8"/>
      <c r="V31" s="8"/>
      <c r="W31" s="8"/>
      <c r="X31" s="8"/>
    </row>
    <row r="32" spans="1:29">
      <c r="A32" s="8"/>
      <c r="B32" s="8"/>
      <c r="C32" s="8"/>
      <c r="D32" s="8"/>
      <c r="E32" s="8"/>
      <c r="F32" s="8"/>
      <c r="G32" s="8"/>
      <c r="H32" s="8"/>
      <c r="I32" s="8"/>
      <c r="J32" s="8"/>
      <c r="K32" s="8"/>
      <c r="L32" s="8"/>
      <c r="M32" s="8"/>
      <c r="N32" s="19"/>
      <c r="O32" s="8"/>
      <c r="P32" s="8"/>
      <c r="Q32" s="8"/>
      <c r="R32" s="8"/>
      <c r="S32" s="8"/>
      <c r="T32" s="8"/>
      <c r="U32" s="8"/>
      <c r="V32" s="8"/>
      <c r="W32" s="8"/>
      <c r="X32" s="8"/>
    </row>
    <row r="33" spans="1:24">
      <c r="A33" s="8"/>
      <c r="B33" s="8"/>
      <c r="C33" s="8"/>
      <c r="D33" s="8"/>
      <c r="E33" s="8"/>
      <c r="F33" s="8"/>
      <c r="G33" s="8"/>
      <c r="H33" s="8"/>
      <c r="I33" s="8"/>
      <c r="J33" s="8"/>
      <c r="K33" s="8"/>
      <c r="L33" s="8"/>
      <c r="M33" s="8"/>
      <c r="N33" s="19"/>
      <c r="O33" s="8"/>
      <c r="P33" s="8"/>
      <c r="Q33" s="8"/>
      <c r="R33" s="8"/>
      <c r="S33" s="8"/>
      <c r="T33" s="8"/>
      <c r="U33" s="8"/>
      <c r="V33" s="8"/>
      <c r="W33" s="8"/>
      <c r="X33" s="8"/>
    </row>
    <row r="34" spans="1:24">
      <c r="A34" s="8"/>
      <c r="B34" s="8"/>
      <c r="C34" s="8"/>
      <c r="D34" s="8"/>
      <c r="E34" s="8"/>
      <c r="F34" s="8"/>
      <c r="G34" s="8"/>
      <c r="H34" s="8"/>
      <c r="I34" s="8"/>
      <c r="J34" s="8"/>
      <c r="K34" s="8"/>
      <c r="L34" s="8"/>
      <c r="M34" s="8"/>
      <c r="N34" s="19"/>
      <c r="O34" s="19"/>
      <c r="P34" s="19"/>
      <c r="Q34" s="8"/>
      <c r="R34" s="8"/>
      <c r="S34" s="8"/>
      <c r="T34" s="8"/>
      <c r="U34" s="8"/>
      <c r="V34" s="8"/>
      <c r="W34" s="8"/>
      <c r="X34" s="8"/>
    </row>
    <row r="35" spans="1:24">
      <c r="A35" s="8"/>
      <c r="B35" s="8"/>
      <c r="C35" s="8"/>
      <c r="D35" s="8"/>
      <c r="E35" s="8"/>
      <c r="F35" s="8"/>
      <c r="G35" s="8"/>
      <c r="H35" s="8"/>
      <c r="I35" s="8"/>
      <c r="J35" s="8"/>
      <c r="K35" s="8"/>
      <c r="L35" s="8"/>
      <c r="M35" s="8"/>
      <c r="N35" s="19"/>
      <c r="O35" s="19"/>
      <c r="P35" s="19"/>
      <c r="Q35" s="8"/>
      <c r="R35" s="8"/>
      <c r="S35" s="8"/>
      <c r="T35" s="8"/>
      <c r="U35" s="8"/>
      <c r="V35" s="8"/>
      <c r="W35" s="8"/>
      <c r="X35" s="8"/>
    </row>
    <row r="36" spans="1:24">
      <c r="A36" s="8"/>
      <c r="B36" s="8"/>
      <c r="C36" s="8"/>
      <c r="D36" s="8"/>
      <c r="E36" s="8"/>
      <c r="F36" s="8"/>
      <c r="G36" s="8"/>
      <c r="H36" s="8"/>
      <c r="I36" s="8"/>
      <c r="J36" s="8"/>
      <c r="K36" s="8"/>
      <c r="L36" s="8"/>
      <c r="M36" s="8"/>
      <c r="N36" s="19"/>
      <c r="O36" s="19"/>
      <c r="P36" s="19"/>
      <c r="Q36" s="8"/>
      <c r="R36" s="8"/>
      <c r="S36" s="8"/>
      <c r="T36" s="8"/>
      <c r="U36" s="8"/>
      <c r="V36" s="8"/>
      <c r="W36" s="8"/>
      <c r="X36" s="8"/>
    </row>
    <row r="37" spans="1:24">
      <c r="A37" s="8"/>
      <c r="B37" s="8"/>
      <c r="C37" s="8"/>
      <c r="D37" s="8"/>
      <c r="E37" s="8"/>
      <c r="F37" s="8"/>
      <c r="G37" s="8"/>
      <c r="H37" s="8"/>
      <c r="I37" s="8"/>
      <c r="J37" s="8"/>
      <c r="K37" s="8"/>
      <c r="L37" s="8"/>
      <c r="M37" s="8"/>
      <c r="N37" s="19"/>
      <c r="O37" s="19"/>
      <c r="P37" s="19"/>
      <c r="Q37" s="8"/>
      <c r="R37" s="8"/>
      <c r="S37" s="8"/>
      <c r="T37" s="8"/>
      <c r="U37" s="8"/>
      <c r="V37" s="8"/>
      <c r="W37" s="8"/>
      <c r="X37" s="8"/>
    </row>
    <row r="38" spans="1:24">
      <c r="A38" s="8"/>
      <c r="B38" s="8"/>
      <c r="C38" s="8"/>
      <c r="D38" s="8"/>
      <c r="E38" s="8"/>
      <c r="F38" s="8"/>
      <c r="G38" s="8"/>
      <c r="H38" s="8"/>
      <c r="I38" s="8"/>
      <c r="J38" s="8"/>
      <c r="K38" s="8"/>
      <c r="L38" s="8"/>
      <c r="M38" s="8"/>
      <c r="N38" s="19"/>
      <c r="O38" s="19"/>
      <c r="P38" s="19"/>
      <c r="Q38" s="8"/>
      <c r="R38" s="8"/>
      <c r="S38" s="8"/>
      <c r="T38" s="8"/>
      <c r="U38" s="8"/>
      <c r="V38" s="8"/>
      <c r="W38" s="8"/>
      <c r="X38" s="8"/>
    </row>
    <row r="39" spans="1:24">
      <c r="A39" s="8"/>
      <c r="B39" s="8"/>
      <c r="C39" s="8"/>
      <c r="D39" s="8"/>
      <c r="E39" s="8"/>
      <c r="F39" s="8"/>
      <c r="G39" s="8"/>
      <c r="H39" s="8"/>
      <c r="I39" s="8"/>
      <c r="J39" s="8"/>
      <c r="K39" s="8"/>
      <c r="L39" s="8"/>
      <c r="M39" s="8"/>
      <c r="N39" s="19"/>
      <c r="O39" s="19"/>
      <c r="P39" s="19"/>
      <c r="Q39" s="8"/>
      <c r="R39" s="8"/>
      <c r="S39" s="8"/>
      <c r="T39" s="8"/>
      <c r="U39" s="8"/>
      <c r="V39" s="8"/>
      <c r="W39" s="8"/>
      <c r="X39" s="8"/>
    </row>
    <row r="40" spans="1:24">
      <c r="A40" s="8"/>
      <c r="B40" s="8"/>
      <c r="C40" s="8"/>
      <c r="D40" s="8"/>
      <c r="E40" s="8"/>
      <c r="F40" s="8"/>
      <c r="G40" s="8"/>
      <c r="H40" s="8"/>
      <c r="I40" s="8"/>
      <c r="J40" s="8"/>
      <c r="K40" s="8"/>
      <c r="L40" s="8"/>
      <c r="M40" s="8"/>
      <c r="N40" s="19"/>
      <c r="O40" s="19"/>
      <c r="P40" s="19"/>
      <c r="Q40" s="8"/>
      <c r="R40" s="8"/>
      <c r="S40" s="8"/>
      <c r="T40" s="8"/>
      <c r="U40" s="8"/>
      <c r="V40" s="8"/>
      <c r="W40" s="8"/>
      <c r="X40" s="8"/>
    </row>
    <row r="41" spans="1:24">
      <c r="A41" s="8"/>
      <c r="B41" s="8"/>
      <c r="C41" s="8"/>
      <c r="D41" s="8"/>
      <c r="E41" s="8"/>
      <c r="F41" s="8"/>
      <c r="G41" s="8"/>
      <c r="H41" s="8"/>
      <c r="I41" s="8"/>
      <c r="J41" s="8"/>
      <c r="K41" s="8"/>
      <c r="L41" s="8"/>
      <c r="M41" s="8"/>
      <c r="N41" s="19"/>
      <c r="O41" s="19"/>
      <c r="P41" s="19"/>
      <c r="Q41" s="8"/>
      <c r="R41" s="8"/>
      <c r="S41" s="8"/>
      <c r="T41" s="8"/>
      <c r="U41" s="8"/>
      <c r="V41" s="8"/>
      <c r="W41" s="8"/>
      <c r="X41" s="8"/>
    </row>
    <row r="42" spans="1:24">
      <c r="A42" s="8"/>
      <c r="B42" s="8"/>
      <c r="C42" s="8"/>
      <c r="D42" s="8"/>
      <c r="E42" s="8"/>
      <c r="F42" s="8"/>
      <c r="G42" s="8"/>
      <c r="H42" s="8"/>
      <c r="I42" s="8"/>
      <c r="J42" s="8"/>
      <c r="K42" s="8"/>
      <c r="L42" s="8"/>
      <c r="M42" s="8"/>
      <c r="N42" s="19"/>
      <c r="O42" s="19"/>
      <c r="P42" s="19"/>
      <c r="Q42" s="8"/>
      <c r="R42" s="8"/>
      <c r="S42" s="8"/>
      <c r="T42" s="8"/>
      <c r="U42" s="8"/>
      <c r="V42" s="8"/>
      <c r="W42" s="8"/>
      <c r="X42" s="8"/>
    </row>
    <row r="43" spans="1:24">
      <c r="A43" s="8"/>
      <c r="B43" s="8"/>
      <c r="C43" s="8"/>
      <c r="D43" s="8"/>
      <c r="E43" s="8"/>
      <c r="F43" s="8"/>
      <c r="G43" s="8"/>
      <c r="H43" s="8"/>
      <c r="I43" s="8"/>
      <c r="J43" s="8"/>
      <c r="K43" s="8"/>
      <c r="L43" s="8"/>
      <c r="M43" s="8"/>
      <c r="N43" s="19"/>
      <c r="O43" s="19"/>
      <c r="P43" s="8"/>
      <c r="Q43" s="8"/>
      <c r="R43" s="8"/>
      <c r="S43" s="8"/>
      <c r="T43" s="8"/>
      <c r="U43" s="8"/>
      <c r="V43" s="8"/>
      <c r="W43" s="8"/>
      <c r="X43" s="8"/>
    </row>
    <row r="44" spans="1:24">
      <c r="A44" s="8"/>
      <c r="B44" s="8"/>
      <c r="C44" s="8"/>
      <c r="D44" s="8"/>
      <c r="E44" s="8"/>
      <c r="F44" s="8"/>
      <c r="G44" s="8"/>
      <c r="H44" s="8"/>
      <c r="I44" s="8"/>
      <c r="J44" s="8"/>
      <c r="K44" s="8"/>
      <c r="L44" s="8"/>
      <c r="M44" s="8"/>
      <c r="N44" s="19"/>
      <c r="O44" s="19"/>
      <c r="P44" s="8"/>
      <c r="Q44" s="8"/>
      <c r="R44" s="8"/>
      <c r="S44" s="8"/>
      <c r="T44" s="8"/>
      <c r="U44" s="8"/>
      <c r="V44" s="8"/>
      <c r="W44" s="8"/>
      <c r="X44" s="8"/>
    </row>
    <row r="45" spans="1:24">
      <c r="A45" s="8"/>
      <c r="B45" s="8"/>
      <c r="C45" s="8"/>
      <c r="D45" s="8"/>
      <c r="E45" s="8"/>
      <c r="F45" s="8"/>
      <c r="G45" s="8"/>
      <c r="H45" s="8"/>
      <c r="I45" s="8"/>
      <c r="J45" s="8"/>
      <c r="K45" s="8"/>
      <c r="L45" s="8"/>
      <c r="M45" s="8"/>
      <c r="N45" s="19"/>
      <c r="O45" s="8"/>
      <c r="P45" s="8"/>
      <c r="Q45" s="8"/>
      <c r="R45" s="8"/>
      <c r="S45" s="8"/>
      <c r="T45" s="8"/>
      <c r="U45" s="8"/>
      <c r="V45" s="8"/>
      <c r="W45" s="8"/>
      <c r="X45" s="8"/>
    </row>
    <row r="46" spans="1:24">
      <c r="A46" s="8"/>
      <c r="B46" s="8"/>
      <c r="C46" s="8"/>
      <c r="D46" s="8"/>
      <c r="E46" s="8"/>
      <c r="F46" s="8"/>
      <c r="G46" s="8"/>
      <c r="H46" s="8"/>
      <c r="I46" s="8"/>
      <c r="J46" s="8"/>
      <c r="K46" s="8"/>
      <c r="L46" s="8"/>
      <c r="M46" s="8"/>
      <c r="N46" s="19"/>
      <c r="O46" s="8"/>
      <c r="P46" s="8"/>
      <c r="Q46" s="8"/>
      <c r="R46" s="8"/>
      <c r="S46" s="8"/>
      <c r="T46" s="8"/>
      <c r="U46" s="8"/>
      <c r="V46" s="8"/>
      <c r="W46" s="8"/>
      <c r="X46" s="8"/>
    </row>
    <row r="47" spans="1:24">
      <c r="A47" s="8"/>
      <c r="B47" s="8"/>
      <c r="C47" s="8"/>
      <c r="D47" s="8"/>
      <c r="E47" s="8"/>
      <c r="F47" s="8"/>
      <c r="G47" s="8"/>
      <c r="H47" s="8"/>
      <c r="I47" s="8"/>
      <c r="J47" s="8"/>
      <c r="K47" s="8"/>
      <c r="L47" s="8"/>
      <c r="M47" s="8"/>
      <c r="N47" s="19"/>
      <c r="O47" s="8"/>
      <c r="P47" s="8"/>
      <c r="Q47" s="8"/>
      <c r="R47" s="8"/>
      <c r="S47" s="8"/>
      <c r="T47" s="8"/>
      <c r="U47" s="8"/>
      <c r="V47" s="8"/>
      <c r="W47" s="8"/>
      <c r="X47" s="8"/>
    </row>
    <row r="48" spans="1:24">
      <c r="A48" s="8"/>
      <c r="B48" s="8"/>
      <c r="C48" s="8"/>
      <c r="D48" s="8"/>
      <c r="E48" s="8"/>
      <c r="F48" s="8"/>
      <c r="G48" s="8"/>
      <c r="H48" s="8"/>
      <c r="I48" s="8"/>
      <c r="J48" s="8"/>
      <c r="K48" s="8"/>
      <c r="L48" s="8"/>
      <c r="M48" s="8"/>
      <c r="N48" s="19"/>
      <c r="O48" s="8"/>
      <c r="P48" s="8"/>
      <c r="Q48" s="8"/>
      <c r="R48" s="8"/>
      <c r="S48" s="8"/>
      <c r="T48" s="8"/>
      <c r="U48" s="8"/>
      <c r="V48" s="8"/>
      <c r="W48" s="8"/>
      <c r="X48" s="8"/>
    </row>
    <row r="49" spans="1:24">
      <c r="A49" s="8"/>
      <c r="B49" s="8"/>
      <c r="C49" s="8"/>
      <c r="D49" s="8"/>
      <c r="E49" s="8"/>
      <c r="F49" s="8"/>
      <c r="G49" s="8"/>
      <c r="H49" s="8"/>
      <c r="I49" s="8"/>
      <c r="J49" s="8"/>
      <c r="K49" s="8"/>
      <c r="L49" s="8"/>
      <c r="M49" s="8"/>
      <c r="N49" s="19"/>
      <c r="O49" s="8"/>
      <c r="P49" s="8"/>
      <c r="Q49" s="8"/>
      <c r="R49" s="8"/>
      <c r="S49" s="8"/>
      <c r="T49" s="8"/>
      <c r="U49" s="8"/>
      <c r="V49" s="8"/>
      <c r="W49" s="8"/>
      <c r="X49" s="8"/>
    </row>
    <row r="50" spans="1:24">
      <c r="A50" s="8"/>
      <c r="B50" s="8"/>
      <c r="C50" s="8"/>
      <c r="D50" s="8"/>
      <c r="E50" s="8"/>
      <c r="F50" s="8"/>
      <c r="G50" s="8"/>
      <c r="H50" s="8"/>
      <c r="I50" s="8"/>
      <c r="J50" s="8"/>
      <c r="K50" s="8"/>
      <c r="L50" s="8"/>
      <c r="M50" s="8"/>
      <c r="N50" s="19"/>
      <c r="O50" s="8"/>
      <c r="P50" s="8"/>
      <c r="Q50" s="8"/>
      <c r="R50" s="8"/>
      <c r="S50" s="8"/>
      <c r="T50" s="8"/>
      <c r="U50" s="8"/>
      <c r="V50" s="8"/>
      <c r="W50" s="8"/>
      <c r="X50" s="8"/>
    </row>
    <row r="51" spans="1:24">
      <c r="A51" s="8"/>
      <c r="B51" s="8"/>
      <c r="C51" s="8"/>
      <c r="D51" s="8"/>
      <c r="E51" s="8"/>
      <c r="F51" s="8"/>
      <c r="G51" s="8"/>
      <c r="H51" s="8"/>
      <c r="I51" s="8"/>
      <c r="J51" s="8"/>
      <c r="K51" s="8"/>
      <c r="L51" s="8"/>
      <c r="M51" s="8"/>
      <c r="N51" s="19"/>
      <c r="O51" s="8"/>
      <c r="P51" s="8"/>
      <c r="Q51" s="8"/>
      <c r="R51" s="8"/>
      <c r="S51" s="8"/>
      <c r="T51" s="8"/>
      <c r="U51" s="8"/>
      <c r="V51" s="8"/>
      <c r="W51" s="8"/>
      <c r="X51" s="8"/>
    </row>
    <row r="52" spans="1:24">
      <c r="A52" s="8"/>
      <c r="B52" s="8"/>
      <c r="C52" s="8"/>
      <c r="D52" s="8"/>
      <c r="E52" s="8"/>
      <c r="F52" s="8"/>
      <c r="G52" s="8"/>
      <c r="H52" s="8"/>
      <c r="I52" s="8"/>
      <c r="J52" s="8"/>
      <c r="K52" s="8"/>
      <c r="L52" s="8"/>
      <c r="M52" s="8"/>
      <c r="N52" s="19"/>
      <c r="O52" s="8"/>
      <c r="P52" s="8"/>
      <c r="Q52" s="8"/>
      <c r="R52" s="8"/>
      <c r="S52" s="8"/>
      <c r="T52" s="8"/>
      <c r="U52" s="8"/>
      <c r="V52" s="8"/>
      <c r="W52" s="8"/>
      <c r="X52" s="8"/>
    </row>
    <row r="53" spans="1:24">
      <c r="A53" s="8"/>
      <c r="B53" s="8"/>
      <c r="C53" s="8"/>
      <c r="D53" s="8"/>
      <c r="E53" s="8"/>
      <c r="F53" s="8"/>
      <c r="G53" s="8"/>
      <c r="H53" s="8"/>
      <c r="I53" s="8"/>
      <c r="J53" s="8"/>
      <c r="K53" s="8"/>
      <c r="L53" s="8"/>
      <c r="M53" s="8"/>
      <c r="N53" s="19"/>
      <c r="O53" s="8"/>
      <c r="P53" s="8"/>
      <c r="Q53" s="8"/>
      <c r="R53" s="8"/>
      <c r="S53" s="8"/>
      <c r="T53" s="8"/>
      <c r="U53" s="8"/>
      <c r="V53" s="8"/>
      <c r="W53" s="8"/>
      <c r="X53" s="8"/>
    </row>
    <row r="54" spans="1:24">
      <c r="A54" s="8"/>
      <c r="B54" s="8"/>
      <c r="C54" s="8"/>
      <c r="D54" s="8"/>
      <c r="E54" s="8"/>
      <c r="F54" s="8"/>
      <c r="G54" s="8"/>
      <c r="H54" s="8"/>
      <c r="I54" s="8"/>
      <c r="J54" s="8"/>
      <c r="K54" s="8"/>
      <c r="L54" s="8"/>
      <c r="M54" s="8"/>
      <c r="N54" s="19"/>
      <c r="O54" s="8"/>
      <c r="P54" s="8"/>
      <c r="Q54" s="8"/>
      <c r="R54" s="8"/>
      <c r="S54" s="8"/>
      <c r="T54" s="8"/>
      <c r="U54" s="8"/>
      <c r="V54" s="8"/>
      <c r="W54" s="8"/>
      <c r="X54" s="8"/>
    </row>
    <row r="55" spans="1:24">
      <c r="A55" s="8"/>
      <c r="B55" s="8"/>
      <c r="C55" s="8"/>
      <c r="D55" s="8"/>
      <c r="E55" s="8"/>
      <c r="F55" s="8"/>
      <c r="G55" s="8"/>
      <c r="H55" s="8"/>
      <c r="I55" s="8"/>
      <c r="J55" s="8"/>
      <c r="K55" s="8"/>
      <c r="L55" s="8"/>
      <c r="M55" s="8"/>
      <c r="N55" s="19"/>
      <c r="O55" s="8"/>
      <c r="P55" s="8"/>
      <c r="Q55" s="8"/>
      <c r="R55" s="8"/>
      <c r="S55" s="8"/>
      <c r="T55" s="8"/>
      <c r="U55" s="8"/>
      <c r="V55" s="8"/>
      <c r="W55" s="8"/>
      <c r="X55" s="8"/>
    </row>
    <row r="56" spans="1:24">
      <c r="A56" s="8"/>
      <c r="B56" s="8"/>
      <c r="C56" s="8"/>
      <c r="D56" s="8"/>
      <c r="E56" s="8"/>
      <c r="F56" s="8"/>
      <c r="G56" s="8"/>
      <c r="H56" s="8"/>
      <c r="I56" s="8"/>
      <c r="J56" s="8"/>
      <c r="K56" s="8"/>
      <c r="L56" s="8"/>
      <c r="M56" s="8"/>
      <c r="N56" s="19"/>
      <c r="O56" s="8"/>
      <c r="P56" s="8"/>
      <c r="Q56" s="8"/>
      <c r="R56" s="8"/>
      <c r="S56" s="8"/>
      <c r="T56" s="8"/>
      <c r="U56" s="8"/>
      <c r="V56" s="8"/>
      <c r="W56" s="8"/>
      <c r="X56" s="8"/>
    </row>
    <row r="57" spans="1:24">
      <c r="A57" s="8"/>
      <c r="B57" s="8"/>
      <c r="C57" s="8"/>
      <c r="D57" s="8"/>
      <c r="E57" s="8"/>
      <c r="F57" s="8"/>
      <c r="G57" s="8"/>
      <c r="H57" s="8"/>
      <c r="I57" s="8"/>
      <c r="J57" s="8"/>
      <c r="K57" s="8"/>
      <c r="L57" s="8"/>
      <c r="M57" s="8"/>
      <c r="N57" s="19"/>
      <c r="O57" s="8"/>
      <c r="P57" s="8"/>
      <c r="Q57" s="8"/>
      <c r="R57" s="8"/>
      <c r="S57" s="8"/>
      <c r="T57" s="8"/>
      <c r="U57" s="8"/>
      <c r="V57" s="8"/>
      <c r="W57" s="8"/>
      <c r="X57" s="8"/>
    </row>
    <row r="58" spans="1:24">
      <c r="A58" s="8"/>
      <c r="B58" s="8"/>
      <c r="C58" s="8"/>
      <c r="D58" s="8"/>
      <c r="E58" s="8"/>
      <c r="F58" s="8"/>
      <c r="G58" s="8"/>
      <c r="H58" s="8"/>
      <c r="I58" s="8"/>
      <c r="J58" s="8"/>
      <c r="K58" s="8"/>
      <c r="L58" s="8"/>
      <c r="M58" s="8"/>
      <c r="N58" s="19"/>
      <c r="O58" s="8"/>
      <c r="P58" s="8"/>
      <c r="Q58" s="8"/>
      <c r="R58" s="8"/>
      <c r="S58" s="8"/>
      <c r="T58" s="8"/>
      <c r="U58" s="8"/>
      <c r="V58" s="8"/>
      <c r="W58" s="8"/>
      <c r="X58" s="8"/>
    </row>
    <row r="59" spans="1:24">
      <c r="A59" s="8"/>
      <c r="B59" s="8"/>
      <c r="C59" s="8"/>
      <c r="D59" s="8"/>
      <c r="E59" s="8"/>
      <c r="F59" s="8"/>
      <c r="G59" s="8"/>
      <c r="H59" s="8"/>
      <c r="I59" s="8"/>
      <c r="J59" s="8"/>
      <c r="K59" s="8"/>
      <c r="L59" s="8"/>
      <c r="M59" s="8"/>
      <c r="N59" s="19"/>
      <c r="O59" s="8"/>
      <c r="P59" s="8"/>
      <c r="Q59" s="8"/>
      <c r="R59" s="8"/>
      <c r="S59" s="8"/>
      <c r="T59" s="8"/>
      <c r="U59" s="8"/>
      <c r="V59" s="8"/>
      <c r="W59" s="8"/>
      <c r="X59" s="8"/>
    </row>
    <row r="60" spans="1:24">
      <c r="A60" s="8"/>
      <c r="B60" s="8"/>
      <c r="C60" s="8"/>
      <c r="D60" s="8"/>
      <c r="E60" s="8"/>
      <c r="F60" s="8"/>
      <c r="G60" s="8"/>
      <c r="H60" s="8"/>
      <c r="I60" s="8"/>
      <c r="J60" s="8"/>
      <c r="K60" s="8"/>
      <c r="L60" s="8"/>
      <c r="M60" s="8"/>
      <c r="N60" s="19"/>
      <c r="O60" s="8"/>
      <c r="P60" s="8"/>
      <c r="Q60" s="8"/>
      <c r="R60" s="8"/>
      <c r="S60" s="8"/>
      <c r="T60" s="8"/>
      <c r="U60" s="8"/>
      <c r="V60" s="8"/>
      <c r="W60" s="8"/>
      <c r="X60" s="8"/>
    </row>
    <row r="61" spans="1:24">
      <c r="A61" s="8"/>
      <c r="B61" s="8"/>
      <c r="C61" s="8"/>
      <c r="D61" s="8"/>
      <c r="E61" s="8"/>
      <c r="F61" s="8"/>
      <c r="G61" s="8"/>
      <c r="H61" s="8"/>
      <c r="I61" s="8"/>
      <c r="J61" s="8"/>
      <c r="K61" s="8"/>
      <c r="L61" s="8"/>
      <c r="M61" s="8"/>
      <c r="N61" s="19"/>
      <c r="O61" s="8"/>
      <c r="P61" s="8"/>
      <c r="Q61" s="8"/>
      <c r="R61" s="8"/>
      <c r="S61" s="8"/>
      <c r="T61" s="8"/>
      <c r="U61" s="8"/>
      <c r="V61" s="8"/>
      <c r="W61" s="8"/>
      <c r="X61" s="8"/>
    </row>
    <row r="62" spans="1:24">
      <c r="A62" s="8"/>
      <c r="B62" s="8"/>
      <c r="C62" s="8"/>
      <c r="D62" s="8"/>
      <c r="E62" s="8"/>
      <c r="F62" s="8"/>
      <c r="G62" s="8"/>
      <c r="H62" s="8"/>
      <c r="I62" s="8"/>
      <c r="J62" s="8"/>
      <c r="K62" s="8"/>
      <c r="L62" s="8"/>
      <c r="M62" s="8"/>
      <c r="N62" s="19"/>
      <c r="O62" s="8"/>
      <c r="P62" s="8"/>
      <c r="Q62" s="8"/>
      <c r="R62" s="8"/>
      <c r="S62" s="8"/>
      <c r="T62" s="8"/>
      <c r="U62" s="8"/>
      <c r="V62" s="8"/>
      <c r="W62" s="8"/>
      <c r="X62" s="8"/>
    </row>
    <row r="63" spans="1:24">
      <c r="A63" s="8"/>
      <c r="B63" s="8"/>
      <c r="C63" s="8"/>
      <c r="D63" s="8"/>
      <c r="E63" s="8"/>
      <c r="F63" s="8"/>
      <c r="G63" s="8"/>
      <c r="H63" s="8"/>
      <c r="I63" s="8"/>
      <c r="J63" s="8"/>
      <c r="K63" s="8"/>
      <c r="L63" s="8"/>
      <c r="M63" s="8"/>
      <c r="N63" s="19"/>
      <c r="O63" s="8"/>
      <c r="P63" s="8"/>
      <c r="Q63" s="8"/>
      <c r="R63" s="8"/>
      <c r="S63" s="8"/>
      <c r="T63" s="8"/>
      <c r="U63" s="8"/>
      <c r="V63" s="8"/>
      <c r="W63" s="8"/>
      <c r="X63" s="8"/>
    </row>
    <row r="64" spans="1:24">
      <c r="A64" s="8"/>
      <c r="B64" s="8"/>
      <c r="C64" s="8"/>
      <c r="D64" s="8"/>
      <c r="E64" s="8"/>
      <c r="F64" s="8"/>
      <c r="G64" s="8"/>
      <c r="H64" s="8"/>
      <c r="I64" s="8"/>
      <c r="J64" s="8"/>
      <c r="K64" s="8"/>
      <c r="L64" s="8"/>
      <c r="M64" s="8"/>
      <c r="N64" s="19"/>
      <c r="O64" s="8"/>
      <c r="P64" s="8"/>
      <c r="Q64" s="8"/>
      <c r="R64" s="8"/>
      <c r="S64" s="8"/>
      <c r="T64" s="8"/>
      <c r="U64" s="8"/>
      <c r="V64" s="8"/>
      <c r="W64" s="8"/>
      <c r="X64" s="8"/>
    </row>
    <row r="65" spans="1:24">
      <c r="A65" s="8"/>
      <c r="B65" s="8"/>
      <c r="C65" s="8"/>
      <c r="D65" s="8"/>
      <c r="E65" s="8"/>
      <c r="F65" s="8"/>
      <c r="G65" s="8"/>
      <c r="H65" s="8"/>
      <c r="I65" s="8"/>
      <c r="J65" s="8"/>
      <c r="K65" s="8"/>
      <c r="L65" s="8"/>
      <c r="M65" s="8"/>
      <c r="N65" s="19"/>
      <c r="O65" s="8"/>
      <c r="P65" s="8"/>
      <c r="Q65" s="8"/>
      <c r="R65" s="8"/>
      <c r="S65" s="8"/>
      <c r="T65" s="8"/>
      <c r="U65" s="8"/>
      <c r="V65" s="8"/>
      <c r="W65" s="8"/>
      <c r="X65" s="8"/>
    </row>
    <row r="66" spans="1:24">
      <c r="A66" s="8"/>
      <c r="B66" s="8"/>
      <c r="C66" s="8"/>
      <c r="D66" s="8"/>
      <c r="E66" s="8"/>
      <c r="F66" s="8"/>
      <c r="G66" s="8"/>
      <c r="H66" s="8"/>
      <c r="I66" s="8"/>
      <c r="J66" s="8"/>
      <c r="K66" s="8"/>
      <c r="L66" s="8"/>
      <c r="M66" s="8"/>
      <c r="N66" s="19"/>
      <c r="O66" s="8"/>
      <c r="P66" s="8"/>
      <c r="Q66" s="8"/>
      <c r="R66" s="8"/>
      <c r="S66" s="8"/>
      <c r="T66" s="8"/>
      <c r="U66" s="8"/>
      <c r="V66" s="8"/>
      <c r="W66" s="8"/>
      <c r="X66" s="8"/>
    </row>
    <row r="67" spans="1:24">
      <c r="A67" s="8"/>
      <c r="B67" s="8"/>
      <c r="C67" s="8"/>
      <c r="D67" s="8"/>
      <c r="E67" s="8"/>
      <c r="F67" s="8"/>
      <c r="G67" s="8"/>
      <c r="H67" s="8"/>
      <c r="I67" s="8"/>
      <c r="J67" s="8"/>
      <c r="K67" s="8"/>
      <c r="L67" s="8"/>
      <c r="M67" s="8"/>
      <c r="N67" s="19"/>
      <c r="O67" s="8"/>
      <c r="P67" s="8"/>
      <c r="Q67" s="8"/>
      <c r="R67" s="8"/>
      <c r="S67" s="8"/>
      <c r="T67" s="8"/>
      <c r="U67" s="8"/>
      <c r="V67" s="8"/>
      <c r="W67" s="8"/>
      <c r="X67" s="8"/>
    </row>
    <row r="68" spans="1:24">
      <c r="A68" s="8"/>
      <c r="B68" s="8"/>
      <c r="C68" s="8"/>
      <c r="D68" s="8"/>
      <c r="E68" s="8"/>
      <c r="F68" s="8"/>
      <c r="G68" s="8"/>
      <c r="H68" s="8"/>
      <c r="I68" s="8"/>
      <c r="J68" s="8"/>
      <c r="K68" s="8"/>
      <c r="L68" s="8"/>
      <c r="M68" s="8"/>
      <c r="N68" s="19"/>
      <c r="O68" s="8"/>
      <c r="P68" s="8"/>
      <c r="Q68" s="8"/>
      <c r="R68" s="8"/>
      <c r="S68" s="8"/>
      <c r="T68" s="8"/>
      <c r="U68" s="8"/>
      <c r="V68" s="8"/>
      <c r="W68" s="8"/>
      <c r="X68" s="8"/>
    </row>
    <row r="69" spans="1:24">
      <c r="A69" s="8"/>
      <c r="B69" s="8"/>
      <c r="C69" s="8"/>
      <c r="D69" s="8"/>
      <c r="E69" s="8"/>
      <c r="F69" s="8"/>
      <c r="G69" s="8"/>
      <c r="H69" s="8"/>
      <c r="I69" s="8"/>
      <c r="J69" s="8"/>
      <c r="K69" s="8"/>
      <c r="L69" s="8"/>
      <c r="M69" s="8"/>
      <c r="N69" s="19"/>
      <c r="O69" s="8"/>
      <c r="P69" s="8"/>
      <c r="Q69" s="8"/>
      <c r="R69" s="8"/>
      <c r="S69" s="8"/>
      <c r="T69" s="8"/>
      <c r="U69" s="8"/>
      <c r="V69" s="8"/>
      <c r="W69" s="8"/>
      <c r="X69" s="8"/>
    </row>
    <row r="70" spans="1:24">
      <c r="A70" s="8"/>
      <c r="B70" s="8"/>
      <c r="C70" s="8"/>
      <c r="D70" s="8"/>
      <c r="E70" s="8"/>
      <c r="F70" s="8"/>
      <c r="G70" s="8"/>
      <c r="H70" s="8"/>
      <c r="I70" s="8"/>
      <c r="J70" s="8"/>
      <c r="K70" s="8"/>
      <c r="L70" s="8"/>
      <c r="M70" s="8"/>
      <c r="N70" s="19"/>
      <c r="O70" s="8"/>
      <c r="P70" s="8"/>
      <c r="Q70" s="8"/>
      <c r="R70" s="8"/>
      <c r="S70" s="8"/>
      <c r="T70" s="8"/>
      <c r="U70" s="8"/>
      <c r="V70" s="8"/>
      <c r="W70" s="8"/>
      <c r="X70" s="8"/>
    </row>
    <row r="71" spans="1:24">
      <c r="A71" s="8"/>
      <c r="B71" s="8"/>
      <c r="C71" s="8"/>
      <c r="D71" s="8"/>
      <c r="E71" s="8"/>
      <c r="F71" s="8"/>
      <c r="G71" s="8"/>
      <c r="H71" s="8"/>
      <c r="I71" s="8"/>
      <c r="J71" s="8"/>
      <c r="K71" s="8"/>
      <c r="L71" s="8"/>
      <c r="M71" s="8"/>
      <c r="N71" s="19"/>
      <c r="O71" s="8"/>
      <c r="P71" s="8"/>
      <c r="Q71" s="8"/>
      <c r="R71" s="8"/>
      <c r="S71" s="8"/>
      <c r="T71" s="8"/>
      <c r="U71" s="8"/>
      <c r="V71" s="8"/>
      <c r="W71" s="8"/>
      <c r="X71" s="8"/>
    </row>
    <row r="72" spans="1:24">
      <c r="A72" s="8"/>
      <c r="B72" s="8"/>
      <c r="C72" s="8"/>
      <c r="D72" s="8"/>
      <c r="E72" s="8"/>
      <c r="F72" s="8"/>
      <c r="G72" s="8"/>
      <c r="H72" s="8"/>
      <c r="I72" s="8"/>
      <c r="J72" s="8"/>
      <c r="K72" s="8"/>
      <c r="L72" s="8"/>
      <c r="M72" s="8"/>
      <c r="N72" s="19"/>
      <c r="O72" s="8"/>
      <c r="P72" s="8"/>
      <c r="Q72" s="8"/>
      <c r="R72" s="8"/>
      <c r="S72" s="8"/>
      <c r="T72" s="8"/>
      <c r="U72" s="8"/>
      <c r="V72" s="8"/>
      <c r="W72" s="8"/>
      <c r="X72" s="8"/>
    </row>
    <row r="73" spans="1:24">
      <c r="A73" s="8"/>
      <c r="B73" s="8"/>
      <c r="C73" s="8"/>
      <c r="D73" s="8"/>
      <c r="E73" s="8"/>
      <c r="F73" s="8"/>
      <c r="G73" s="8"/>
      <c r="H73" s="8"/>
      <c r="I73" s="8"/>
      <c r="J73" s="8"/>
      <c r="K73" s="8"/>
      <c r="L73" s="8"/>
      <c r="M73" s="8"/>
      <c r="N73" s="19"/>
      <c r="O73" s="8"/>
      <c r="P73" s="8"/>
      <c r="Q73" s="8"/>
      <c r="R73" s="8"/>
      <c r="S73" s="8"/>
      <c r="T73" s="8"/>
      <c r="U73" s="8"/>
      <c r="V73" s="8"/>
      <c r="W73" s="8"/>
      <c r="X73" s="8"/>
    </row>
    <row r="74" spans="1:24">
      <c r="A74" s="8"/>
      <c r="B74" s="8"/>
      <c r="C74" s="8"/>
      <c r="D74" s="8"/>
      <c r="E74" s="8"/>
      <c r="F74" s="8"/>
      <c r="G74" s="8"/>
      <c r="H74" s="8"/>
      <c r="I74" s="8"/>
      <c r="J74" s="8"/>
      <c r="K74" s="8"/>
      <c r="L74" s="8"/>
      <c r="M74" s="8"/>
      <c r="N74" s="19"/>
      <c r="O74" s="8"/>
      <c r="P74" s="8"/>
      <c r="Q74" s="8"/>
      <c r="R74" s="8"/>
      <c r="S74" s="8"/>
      <c r="T74" s="8"/>
      <c r="U74" s="8"/>
      <c r="V74" s="8"/>
      <c r="W74" s="8"/>
      <c r="X74" s="8"/>
    </row>
    <row r="75" spans="1:24">
      <c r="A75" s="8"/>
      <c r="B75" s="8"/>
      <c r="C75" s="8"/>
      <c r="D75" s="8"/>
      <c r="E75" s="8"/>
      <c r="F75" s="8"/>
      <c r="G75" s="8"/>
      <c r="H75" s="8"/>
      <c r="I75" s="8"/>
      <c r="J75" s="8"/>
      <c r="K75" s="8"/>
      <c r="L75" s="8"/>
      <c r="M75" s="8"/>
      <c r="N75" s="19"/>
      <c r="O75" s="8"/>
      <c r="P75" s="8"/>
      <c r="Q75" s="8"/>
      <c r="R75" s="8"/>
      <c r="S75" s="8"/>
      <c r="T75" s="8"/>
      <c r="U75" s="8"/>
      <c r="V75" s="8"/>
      <c r="W75" s="8"/>
      <c r="X75" s="8"/>
    </row>
    <row r="76" spans="1:24">
      <c r="A76" s="8"/>
      <c r="B76" s="8"/>
      <c r="C76" s="8"/>
      <c r="D76" s="8"/>
      <c r="E76" s="8"/>
      <c r="F76" s="8"/>
      <c r="G76" s="8"/>
      <c r="H76" s="8"/>
      <c r="I76" s="8"/>
      <c r="J76" s="8"/>
      <c r="K76" s="8"/>
      <c r="L76" s="8"/>
      <c r="M76" s="8"/>
      <c r="N76" s="19"/>
      <c r="O76" s="8"/>
      <c r="P76" s="8"/>
      <c r="Q76" s="8"/>
      <c r="R76" s="8"/>
      <c r="S76" s="8"/>
      <c r="T76" s="8"/>
      <c r="U76" s="8"/>
      <c r="V76" s="8"/>
      <c r="W76" s="8"/>
      <c r="X76" s="8"/>
    </row>
    <row r="77" spans="1:24">
      <c r="A77" s="8"/>
      <c r="B77" s="8"/>
      <c r="C77" s="8"/>
      <c r="D77" s="8"/>
      <c r="E77" s="8"/>
      <c r="F77" s="8"/>
      <c r="G77" s="8"/>
      <c r="H77" s="8"/>
      <c r="I77" s="8"/>
      <c r="J77" s="8"/>
      <c r="K77" s="8"/>
      <c r="L77" s="8"/>
      <c r="M77" s="8"/>
      <c r="N77" s="19"/>
      <c r="O77" s="8"/>
      <c r="P77" s="8"/>
      <c r="Q77" s="8"/>
      <c r="R77" s="8"/>
      <c r="S77" s="8"/>
      <c r="T77" s="8"/>
      <c r="U77" s="8"/>
      <c r="V77" s="8"/>
      <c r="W77" s="8"/>
      <c r="X77" s="8"/>
    </row>
    <row r="78" spans="1:24">
      <c r="A78" s="8"/>
      <c r="B78" s="8"/>
      <c r="C78" s="8"/>
      <c r="D78" s="8"/>
      <c r="E78" s="8"/>
      <c r="F78" s="8"/>
      <c r="G78" s="8"/>
      <c r="H78" s="8"/>
      <c r="I78" s="8"/>
      <c r="J78" s="8"/>
      <c r="K78" s="8"/>
      <c r="L78" s="8"/>
      <c r="M78" s="8"/>
      <c r="N78" s="19"/>
      <c r="O78" s="8"/>
      <c r="P78" s="8"/>
      <c r="Q78" s="8"/>
      <c r="R78" s="8"/>
      <c r="S78" s="8"/>
      <c r="T78" s="8"/>
      <c r="U78" s="8"/>
      <c r="V78" s="8"/>
      <c r="W78" s="8"/>
      <c r="X78" s="8"/>
    </row>
    <row r="79" spans="1:24">
      <c r="A79" s="8"/>
      <c r="B79" s="8"/>
      <c r="C79" s="8"/>
      <c r="D79" s="8"/>
      <c r="E79" s="8"/>
      <c r="F79" s="8"/>
      <c r="G79" s="8"/>
      <c r="H79" s="8"/>
      <c r="I79" s="8"/>
      <c r="J79" s="8"/>
      <c r="K79" s="8"/>
      <c r="L79" s="8"/>
      <c r="M79" s="8"/>
      <c r="N79" s="19"/>
      <c r="O79" s="8"/>
      <c r="P79" s="8"/>
      <c r="Q79" s="8"/>
      <c r="R79" s="8"/>
      <c r="S79" s="8"/>
      <c r="T79" s="8"/>
      <c r="U79" s="8"/>
      <c r="V79" s="8"/>
      <c r="W79" s="8"/>
      <c r="X79" s="8"/>
    </row>
    <row r="80" spans="1:24">
      <c r="A80" s="8"/>
      <c r="B80" s="8"/>
      <c r="C80" s="8"/>
      <c r="D80" s="8"/>
      <c r="E80" s="8"/>
      <c r="F80" s="8"/>
      <c r="G80" s="8"/>
      <c r="H80" s="8"/>
      <c r="I80" s="8"/>
      <c r="J80" s="8"/>
      <c r="K80" s="8"/>
      <c r="L80" s="8"/>
      <c r="M80" s="8"/>
      <c r="N80" s="19"/>
      <c r="O80" s="8"/>
      <c r="P80" s="8"/>
      <c r="Q80" s="8"/>
      <c r="R80" s="8"/>
      <c r="S80" s="8"/>
      <c r="T80" s="8"/>
      <c r="U80" s="8"/>
      <c r="V80" s="8"/>
      <c r="W80" s="8"/>
      <c r="X80" s="8"/>
    </row>
    <row r="81" spans="1:24">
      <c r="A81" s="8"/>
      <c r="B81" s="8"/>
      <c r="C81" s="8"/>
      <c r="D81" s="8"/>
      <c r="E81" s="8"/>
      <c r="F81" s="8"/>
      <c r="G81" s="8"/>
      <c r="H81" s="8"/>
      <c r="I81" s="8"/>
      <c r="J81" s="8"/>
      <c r="K81" s="8"/>
      <c r="L81" s="8"/>
      <c r="M81" s="8"/>
      <c r="N81" s="19"/>
      <c r="O81" s="8"/>
      <c r="P81" s="8"/>
      <c r="Q81" s="8"/>
      <c r="R81" s="8"/>
      <c r="S81" s="8"/>
      <c r="T81" s="8"/>
      <c r="U81" s="8"/>
      <c r="V81" s="8"/>
      <c r="W81" s="8"/>
      <c r="X81" s="8"/>
    </row>
    <row r="82" spans="1:24">
      <c r="A82" s="8"/>
      <c r="B82" s="8"/>
      <c r="C82" s="8"/>
      <c r="D82" s="8"/>
      <c r="E82" s="8"/>
      <c r="F82" s="8"/>
      <c r="G82" s="8"/>
      <c r="H82" s="8"/>
      <c r="I82" s="8"/>
      <c r="J82" s="8"/>
      <c r="K82" s="8"/>
      <c r="L82" s="8"/>
      <c r="M82" s="8"/>
      <c r="N82" s="19"/>
      <c r="O82" s="8"/>
      <c r="P82" s="8"/>
      <c r="Q82" s="8"/>
      <c r="R82" s="8"/>
      <c r="S82" s="8"/>
      <c r="T82" s="8"/>
      <c r="U82" s="8"/>
      <c r="V82" s="8"/>
      <c r="W82" s="8"/>
      <c r="X82" s="8"/>
    </row>
    <row r="83" spans="1:24">
      <c r="A83" s="8"/>
      <c r="B83" s="8"/>
      <c r="C83" s="8"/>
      <c r="D83" s="8"/>
      <c r="E83" s="8"/>
      <c r="F83" s="8"/>
      <c r="G83" s="8"/>
      <c r="H83" s="8"/>
      <c r="I83" s="8"/>
      <c r="J83" s="8"/>
      <c r="K83" s="8"/>
      <c r="L83" s="8"/>
      <c r="M83" s="8"/>
      <c r="N83" s="19"/>
      <c r="O83" s="8"/>
      <c r="P83" s="8"/>
      <c r="Q83" s="8"/>
      <c r="R83" s="8"/>
      <c r="S83" s="8"/>
      <c r="T83" s="8"/>
      <c r="U83" s="8"/>
      <c r="V83" s="8"/>
      <c r="W83" s="8"/>
      <c r="X83" s="8"/>
    </row>
    <row r="84" spans="1:24">
      <c r="A84" s="8"/>
      <c r="B84" s="8"/>
      <c r="C84" s="8"/>
      <c r="D84" s="8"/>
      <c r="E84" s="8"/>
      <c r="F84" s="8"/>
      <c r="G84" s="8"/>
      <c r="H84" s="8"/>
      <c r="I84" s="8"/>
      <c r="J84" s="8"/>
      <c r="K84" s="8"/>
      <c r="L84" s="8"/>
      <c r="M84" s="8"/>
      <c r="N84" s="19"/>
      <c r="O84" s="8"/>
      <c r="P84" s="8"/>
      <c r="Q84" s="8"/>
      <c r="R84" s="8"/>
      <c r="S84" s="8"/>
      <c r="T84" s="8"/>
      <c r="U84" s="8"/>
      <c r="V84" s="8"/>
      <c r="W84" s="8"/>
      <c r="X84" s="8"/>
    </row>
    <row r="85" spans="1:24">
      <c r="A85" s="8"/>
      <c r="B85" s="8"/>
      <c r="C85" s="8"/>
      <c r="D85" s="8"/>
      <c r="E85" s="8"/>
      <c r="F85" s="8"/>
      <c r="G85" s="8"/>
      <c r="H85" s="8"/>
      <c r="I85" s="8"/>
      <c r="J85" s="8"/>
      <c r="K85" s="8"/>
      <c r="L85" s="8"/>
      <c r="M85" s="8"/>
      <c r="N85" s="19"/>
      <c r="O85" s="8"/>
      <c r="P85" s="8"/>
      <c r="Q85" s="8"/>
      <c r="R85" s="8"/>
      <c r="S85" s="8"/>
      <c r="T85" s="8"/>
      <c r="U85" s="8"/>
      <c r="V85" s="8"/>
      <c r="W85" s="8"/>
      <c r="X85" s="8"/>
    </row>
    <row r="86" spans="1:24">
      <c r="A86" s="8"/>
      <c r="B86" s="8"/>
      <c r="C86" s="8"/>
      <c r="D86" s="8"/>
      <c r="E86" s="8"/>
      <c r="F86" s="8"/>
      <c r="G86" s="8"/>
      <c r="H86" s="8"/>
      <c r="I86" s="8"/>
      <c r="J86" s="8"/>
      <c r="K86" s="8"/>
      <c r="L86" s="8"/>
      <c r="M86" s="8"/>
      <c r="N86" s="19"/>
      <c r="O86" s="8"/>
      <c r="P86" s="8"/>
      <c r="Q86" s="8"/>
      <c r="R86" s="8"/>
      <c r="S86" s="8"/>
      <c r="T86" s="8"/>
      <c r="U86" s="8"/>
      <c r="V86" s="8"/>
      <c r="W86" s="8"/>
      <c r="X86" s="8"/>
    </row>
    <row r="87" spans="1:24">
      <c r="A87" s="8"/>
      <c r="B87" s="8"/>
      <c r="C87" s="8"/>
      <c r="D87" s="8"/>
      <c r="E87" s="8"/>
      <c r="F87" s="8"/>
      <c r="G87" s="8"/>
      <c r="H87" s="8"/>
      <c r="I87" s="8"/>
      <c r="J87" s="8"/>
      <c r="K87" s="8"/>
      <c r="L87" s="8"/>
      <c r="M87" s="8"/>
      <c r="N87" s="19"/>
      <c r="O87" s="8"/>
      <c r="P87" s="8"/>
      <c r="Q87" s="8"/>
      <c r="R87" s="8"/>
      <c r="S87" s="8"/>
      <c r="T87" s="8"/>
      <c r="U87" s="8"/>
      <c r="V87" s="8"/>
      <c r="W87" s="8"/>
      <c r="X87" s="8"/>
    </row>
    <row r="88" spans="1:24">
      <c r="A88" s="8"/>
      <c r="B88" s="8"/>
      <c r="C88" s="8"/>
      <c r="D88" s="8"/>
      <c r="E88" s="8"/>
      <c r="F88" s="8"/>
      <c r="G88" s="8"/>
      <c r="H88" s="8"/>
      <c r="I88" s="8"/>
      <c r="J88" s="8"/>
      <c r="K88" s="8"/>
      <c r="L88" s="8"/>
      <c r="M88" s="8"/>
      <c r="N88" s="19"/>
      <c r="O88" s="8"/>
      <c r="P88" s="8"/>
      <c r="Q88" s="8"/>
      <c r="R88" s="8"/>
      <c r="S88" s="8"/>
      <c r="T88" s="8"/>
      <c r="U88" s="8"/>
      <c r="V88" s="8"/>
      <c r="W88" s="8"/>
      <c r="X88" s="8"/>
    </row>
    <row r="89" spans="1:24">
      <c r="A89" s="8"/>
      <c r="B89" s="8"/>
      <c r="C89" s="8"/>
      <c r="D89" s="8"/>
      <c r="E89" s="8"/>
      <c r="F89" s="8"/>
      <c r="G89" s="8"/>
      <c r="H89" s="8"/>
      <c r="I89" s="8"/>
      <c r="J89" s="8"/>
      <c r="K89" s="8"/>
      <c r="L89" s="8"/>
      <c r="M89" s="8"/>
      <c r="N89" s="19"/>
      <c r="O89" s="8"/>
      <c r="P89" s="8"/>
      <c r="Q89" s="8"/>
      <c r="R89" s="8"/>
      <c r="S89" s="8"/>
      <c r="T89" s="8"/>
      <c r="U89" s="8"/>
      <c r="V89" s="8"/>
      <c r="W89" s="8"/>
      <c r="X89" s="8"/>
    </row>
    <row r="90" spans="1:24">
      <c r="A90" s="8"/>
      <c r="B90" s="8"/>
      <c r="C90" s="8"/>
      <c r="D90" s="8"/>
      <c r="E90" s="8"/>
      <c r="F90" s="8"/>
      <c r="G90" s="8"/>
      <c r="H90" s="8"/>
      <c r="I90" s="8"/>
      <c r="J90" s="8"/>
      <c r="K90" s="8"/>
      <c r="L90" s="8"/>
      <c r="M90" s="8"/>
      <c r="N90" s="19"/>
      <c r="O90" s="8"/>
      <c r="P90" s="8"/>
      <c r="Q90" s="8"/>
      <c r="R90" s="8"/>
      <c r="S90" s="8"/>
      <c r="T90" s="8"/>
      <c r="U90" s="8"/>
      <c r="V90" s="8"/>
      <c r="W90" s="8"/>
      <c r="X90" s="8"/>
    </row>
    <row r="91" spans="1:24">
      <c r="A91" s="8"/>
      <c r="B91" s="8"/>
      <c r="C91" s="8"/>
      <c r="D91" s="8"/>
      <c r="E91" s="8"/>
      <c r="F91" s="8"/>
      <c r="G91" s="8"/>
      <c r="H91" s="8"/>
      <c r="I91" s="8"/>
      <c r="J91" s="8"/>
      <c r="K91" s="8"/>
      <c r="L91" s="8"/>
      <c r="M91" s="8"/>
      <c r="N91" s="19"/>
      <c r="O91" s="8"/>
      <c r="P91" s="8"/>
      <c r="Q91" s="8"/>
      <c r="R91" s="8"/>
      <c r="S91" s="8"/>
      <c r="T91" s="8"/>
      <c r="U91" s="8"/>
      <c r="V91" s="8"/>
      <c r="W91" s="8"/>
      <c r="X91" s="8"/>
    </row>
    <row r="92" spans="1:24">
      <c r="A92" s="8"/>
      <c r="B92" s="8"/>
      <c r="C92" s="8"/>
      <c r="D92" s="8"/>
      <c r="E92" s="8"/>
      <c r="F92" s="8"/>
      <c r="G92" s="8"/>
      <c r="H92" s="8"/>
      <c r="I92" s="8"/>
      <c r="J92" s="8"/>
      <c r="K92" s="8"/>
      <c r="L92" s="8"/>
      <c r="M92" s="8"/>
      <c r="N92" s="19"/>
      <c r="O92" s="8"/>
      <c r="P92" s="8"/>
      <c r="Q92" s="8"/>
      <c r="R92" s="8"/>
      <c r="S92" s="8"/>
      <c r="T92" s="8"/>
      <c r="U92" s="8"/>
      <c r="V92" s="8"/>
      <c r="W92" s="8"/>
      <c r="X92" s="8"/>
    </row>
    <row r="93" spans="1:24">
      <c r="A93" s="8"/>
      <c r="B93" s="8"/>
      <c r="C93" s="8"/>
      <c r="D93" s="8"/>
      <c r="E93" s="8"/>
      <c r="F93" s="8"/>
      <c r="G93" s="8"/>
      <c r="H93" s="8"/>
      <c r="I93" s="8"/>
      <c r="J93" s="8"/>
      <c r="K93" s="8"/>
      <c r="L93" s="8"/>
      <c r="M93" s="8"/>
      <c r="N93" s="19"/>
      <c r="O93" s="8"/>
      <c r="P93" s="8"/>
      <c r="Q93" s="8"/>
      <c r="R93" s="8"/>
      <c r="S93" s="8"/>
      <c r="T93" s="8"/>
      <c r="U93" s="8"/>
      <c r="V93" s="8"/>
      <c r="W93" s="8"/>
      <c r="X93" s="8"/>
    </row>
    <row r="94" spans="1:24">
      <c r="A94" s="8"/>
      <c r="B94" s="8"/>
      <c r="C94" s="8"/>
      <c r="D94" s="8"/>
      <c r="E94" s="8"/>
      <c r="F94" s="8"/>
      <c r="G94" s="8"/>
      <c r="H94" s="8"/>
      <c r="I94" s="8"/>
      <c r="J94" s="8"/>
      <c r="K94" s="8"/>
      <c r="L94" s="8"/>
      <c r="M94" s="8"/>
      <c r="N94" s="19"/>
      <c r="O94" s="8"/>
      <c r="P94" s="8"/>
      <c r="Q94" s="8"/>
      <c r="R94" s="8"/>
      <c r="S94" s="8"/>
      <c r="T94" s="8"/>
      <c r="U94" s="8"/>
      <c r="V94" s="8"/>
      <c r="W94" s="8"/>
      <c r="X94" s="8"/>
    </row>
    <row r="95" spans="1:24">
      <c r="A95" s="8"/>
      <c r="B95" s="8"/>
      <c r="C95" s="8"/>
      <c r="D95" s="8"/>
      <c r="E95" s="8"/>
      <c r="F95" s="8"/>
      <c r="G95" s="8"/>
      <c r="H95" s="8"/>
      <c r="I95" s="8"/>
      <c r="J95" s="8"/>
      <c r="K95" s="8"/>
      <c r="L95" s="8"/>
      <c r="M95" s="8"/>
      <c r="N95" s="19"/>
      <c r="O95" s="8"/>
      <c r="P95" s="8"/>
      <c r="Q95" s="8"/>
      <c r="R95" s="8"/>
      <c r="S95" s="8"/>
      <c r="T95" s="8"/>
      <c r="U95" s="8"/>
      <c r="V95" s="8"/>
      <c r="W95" s="8"/>
      <c r="X95" s="8"/>
    </row>
    <row r="96" spans="1:24">
      <c r="A96" s="8"/>
      <c r="B96" s="8"/>
      <c r="C96" s="8"/>
      <c r="D96" s="8"/>
      <c r="E96" s="8"/>
      <c r="F96" s="8"/>
      <c r="G96" s="8"/>
      <c r="H96" s="8"/>
      <c r="I96" s="8"/>
      <c r="J96" s="8"/>
      <c r="K96" s="8"/>
      <c r="L96" s="8"/>
      <c r="M96" s="8"/>
      <c r="N96" s="19"/>
      <c r="O96" s="8"/>
      <c r="P96" s="8"/>
      <c r="Q96" s="8"/>
      <c r="R96" s="8"/>
      <c r="S96" s="8"/>
      <c r="T96" s="8"/>
      <c r="U96" s="8"/>
      <c r="V96" s="8"/>
      <c r="W96" s="8"/>
      <c r="X96" s="8"/>
    </row>
    <row r="97" spans="1:24">
      <c r="A97" s="8"/>
      <c r="B97" s="8"/>
      <c r="C97" s="8"/>
      <c r="D97" s="8"/>
      <c r="E97" s="8"/>
      <c r="F97" s="8"/>
      <c r="G97" s="8"/>
      <c r="H97" s="8"/>
      <c r="I97" s="8"/>
      <c r="J97" s="8"/>
      <c r="K97" s="8"/>
      <c r="L97" s="8"/>
      <c r="M97" s="8"/>
      <c r="N97" s="19"/>
      <c r="O97" s="8"/>
      <c r="P97" s="8"/>
      <c r="Q97" s="8"/>
      <c r="R97" s="8"/>
      <c r="S97" s="8"/>
      <c r="T97" s="8"/>
      <c r="U97" s="8"/>
      <c r="V97" s="8"/>
      <c r="W97" s="8"/>
      <c r="X97" s="8"/>
    </row>
    <row r="98" spans="1:24">
      <c r="A98" s="8"/>
      <c r="B98" s="8"/>
      <c r="C98" s="8"/>
      <c r="D98" s="8"/>
      <c r="E98" s="8"/>
      <c r="F98" s="8"/>
      <c r="G98" s="8"/>
      <c r="H98" s="8"/>
      <c r="I98" s="8"/>
      <c r="J98" s="8"/>
      <c r="K98" s="8"/>
      <c r="L98" s="8"/>
      <c r="M98" s="8"/>
      <c r="N98" s="19"/>
      <c r="O98" s="8"/>
      <c r="P98" s="8"/>
      <c r="Q98" s="8"/>
      <c r="R98" s="8"/>
      <c r="S98" s="8"/>
      <c r="T98" s="8"/>
      <c r="U98" s="8"/>
      <c r="V98" s="8"/>
      <c r="W98" s="8"/>
      <c r="X98" s="8"/>
    </row>
    <row r="99" spans="1:24">
      <c r="A99" s="8"/>
      <c r="B99" s="8"/>
      <c r="C99" s="8"/>
      <c r="D99" s="8"/>
      <c r="E99" s="8"/>
      <c r="F99" s="8"/>
      <c r="G99" s="8"/>
      <c r="H99" s="8"/>
      <c r="I99" s="8"/>
      <c r="J99" s="8"/>
      <c r="K99" s="8"/>
      <c r="L99" s="8"/>
      <c r="M99" s="8"/>
      <c r="N99" s="19"/>
      <c r="O99" s="8"/>
      <c r="P99" s="8"/>
      <c r="Q99" s="8"/>
      <c r="R99" s="8"/>
      <c r="S99" s="8"/>
      <c r="T99" s="8"/>
      <c r="U99" s="8"/>
      <c r="V99" s="8"/>
      <c r="W99" s="8"/>
      <c r="X99" s="8"/>
    </row>
    <row r="100" spans="1:24">
      <c r="A100" s="8"/>
      <c r="B100" s="8"/>
      <c r="C100" s="8"/>
      <c r="D100" s="8"/>
      <c r="E100" s="8"/>
      <c r="F100" s="8"/>
      <c r="G100" s="8"/>
      <c r="H100" s="8"/>
      <c r="I100" s="8"/>
      <c r="J100" s="8"/>
      <c r="K100" s="8"/>
      <c r="L100" s="8"/>
      <c r="M100" s="8"/>
      <c r="N100" s="19"/>
      <c r="O100" s="8"/>
      <c r="P100" s="8"/>
      <c r="Q100" s="8"/>
      <c r="R100" s="8"/>
      <c r="S100" s="8"/>
      <c r="T100" s="8"/>
      <c r="U100" s="8"/>
      <c r="V100" s="8"/>
      <c r="W100" s="8"/>
      <c r="X100" s="8"/>
    </row>
    <row r="101" spans="1:24">
      <c r="A101" s="8"/>
      <c r="B101" s="8"/>
      <c r="C101" s="8"/>
      <c r="D101" s="8"/>
      <c r="E101" s="8"/>
      <c r="F101" s="8"/>
      <c r="G101" s="8"/>
      <c r="H101" s="8"/>
      <c r="I101" s="8"/>
      <c r="J101" s="8"/>
      <c r="K101" s="8"/>
      <c r="L101" s="8"/>
      <c r="M101" s="8"/>
      <c r="N101" s="8"/>
      <c r="O101" s="8"/>
      <c r="P101" s="8"/>
      <c r="Q101" s="8"/>
      <c r="R101" s="8"/>
      <c r="S101" s="8"/>
      <c r="T101" s="8"/>
      <c r="U101" s="8"/>
      <c r="V101" s="8"/>
      <c r="W101" s="8"/>
      <c r="X101" s="8"/>
    </row>
    <row r="102" spans="1:24">
      <c r="A102" s="8"/>
      <c r="B102" s="8"/>
      <c r="C102" s="8"/>
      <c r="D102" s="8"/>
      <c r="E102" s="8"/>
      <c r="F102" s="8"/>
      <c r="G102" s="8"/>
      <c r="H102" s="8"/>
      <c r="I102" s="8"/>
      <c r="J102" s="8"/>
      <c r="K102" s="8"/>
      <c r="L102" s="8"/>
      <c r="M102" s="8"/>
      <c r="N102" s="8"/>
      <c r="O102" s="8"/>
      <c r="P102" s="8"/>
      <c r="Q102" s="8"/>
      <c r="R102" s="8"/>
      <c r="S102" s="8"/>
      <c r="T102" s="8"/>
      <c r="U102" s="8"/>
      <c r="V102" s="8"/>
      <c r="W102" s="8"/>
      <c r="X102" s="8"/>
    </row>
    <row r="103" spans="1:24">
      <c r="A103" s="8"/>
      <c r="B103" s="8"/>
      <c r="C103" s="8"/>
      <c r="D103" s="8"/>
      <c r="E103" s="8"/>
      <c r="F103" s="8"/>
      <c r="G103" s="8"/>
      <c r="H103" s="8"/>
      <c r="I103" s="8"/>
      <c r="J103" s="8"/>
      <c r="K103" s="8"/>
      <c r="L103" s="8"/>
      <c r="M103" s="8"/>
      <c r="N103" s="8"/>
      <c r="O103" s="8"/>
      <c r="P103" s="8"/>
      <c r="Q103" s="8"/>
      <c r="R103" s="8"/>
      <c r="S103" s="8"/>
      <c r="T103" s="8"/>
      <c r="U103" s="8"/>
      <c r="V103" s="8"/>
      <c r="W103" s="8"/>
      <c r="X103" s="8"/>
    </row>
    <row r="104" spans="1:24">
      <c r="A104" s="8"/>
      <c r="B104" s="8"/>
      <c r="C104" s="8"/>
      <c r="D104" s="8"/>
      <c r="E104" s="8"/>
      <c r="F104" s="8"/>
      <c r="G104" s="8"/>
      <c r="H104" s="8"/>
      <c r="I104" s="8"/>
      <c r="J104" s="8"/>
      <c r="K104" s="8"/>
      <c r="L104" s="8"/>
      <c r="M104" s="8"/>
      <c r="N104" s="8"/>
      <c r="O104" s="8"/>
      <c r="P104" s="8"/>
      <c r="Q104" s="8"/>
      <c r="R104" s="8"/>
      <c r="S104" s="8"/>
      <c r="T104" s="8"/>
      <c r="U104" s="8"/>
      <c r="V104" s="8"/>
      <c r="W104" s="8"/>
      <c r="X104" s="8"/>
    </row>
    <row r="105" spans="1:24">
      <c r="A105" s="8"/>
      <c r="B105" s="8"/>
      <c r="C105" s="8"/>
      <c r="D105" s="8"/>
      <c r="E105" s="8"/>
      <c r="F105" s="8"/>
      <c r="G105" s="8"/>
      <c r="H105" s="8"/>
      <c r="I105" s="8"/>
      <c r="J105" s="8"/>
      <c r="K105" s="8"/>
      <c r="L105" s="8"/>
      <c r="M105" s="8"/>
      <c r="N105" s="8"/>
      <c r="O105" s="8"/>
      <c r="P105" s="8"/>
      <c r="Q105" s="8"/>
      <c r="R105" s="8"/>
      <c r="S105" s="8"/>
      <c r="T105" s="8"/>
      <c r="U105" s="8"/>
      <c r="V105" s="8"/>
      <c r="W105" s="8"/>
      <c r="X105" s="8"/>
    </row>
    <row r="106" spans="1:24">
      <c r="A106" s="8"/>
      <c r="B106" s="8"/>
      <c r="C106" s="8"/>
      <c r="D106" s="8"/>
      <c r="E106" s="8"/>
      <c r="F106" s="8"/>
      <c r="G106" s="8"/>
      <c r="H106" s="8"/>
      <c r="I106" s="8"/>
      <c r="J106" s="8"/>
      <c r="K106" s="8"/>
      <c r="L106" s="8"/>
      <c r="M106" s="8"/>
      <c r="N106" s="8"/>
      <c r="O106" s="8"/>
      <c r="P106" s="8"/>
      <c r="Q106" s="8"/>
      <c r="R106" s="8"/>
      <c r="S106" s="8"/>
      <c r="T106" s="8"/>
      <c r="U106" s="8"/>
      <c r="V106" s="8"/>
      <c r="W106" s="8"/>
      <c r="X106" s="8"/>
    </row>
    <row r="107" spans="1:24">
      <c r="A107" s="8"/>
      <c r="B107" s="8"/>
      <c r="C107" s="8"/>
      <c r="D107" s="8"/>
      <c r="E107" s="8"/>
      <c r="F107" s="8"/>
      <c r="G107" s="8"/>
      <c r="H107" s="8"/>
      <c r="I107" s="8"/>
      <c r="J107" s="8"/>
      <c r="K107" s="8"/>
      <c r="L107" s="8"/>
      <c r="M107" s="8"/>
      <c r="N107" s="8"/>
      <c r="O107" s="8"/>
      <c r="P107" s="8"/>
      <c r="Q107" s="8"/>
      <c r="R107" s="8"/>
      <c r="S107" s="8"/>
      <c r="T107" s="8"/>
      <c r="U107" s="8"/>
      <c r="V107" s="8"/>
      <c r="W107" s="8"/>
      <c r="X107" s="8"/>
    </row>
    <row r="108" spans="1:24">
      <c r="A108" s="8"/>
      <c r="B108" s="8"/>
      <c r="C108" s="8"/>
      <c r="D108" s="8"/>
      <c r="E108" s="8"/>
      <c r="F108" s="8"/>
      <c r="G108" s="8"/>
      <c r="H108" s="8"/>
      <c r="I108" s="8"/>
      <c r="J108" s="8"/>
      <c r="K108" s="8"/>
      <c r="L108" s="8"/>
      <c r="M108" s="8"/>
      <c r="N108" s="8"/>
      <c r="O108" s="8"/>
      <c r="P108" s="8"/>
      <c r="Q108" s="8"/>
      <c r="R108" s="8"/>
      <c r="S108" s="8"/>
      <c r="T108" s="8"/>
      <c r="U108" s="8"/>
      <c r="V108" s="8"/>
      <c r="W108" s="8"/>
      <c r="X108" s="8"/>
    </row>
    <row r="109" spans="1:24">
      <c r="A109" s="8"/>
      <c r="B109" s="8"/>
      <c r="C109" s="8"/>
      <c r="D109" s="8"/>
      <c r="E109" s="8"/>
      <c r="F109" s="8"/>
      <c r="G109" s="8"/>
      <c r="H109" s="8"/>
      <c r="I109" s="8"/>
      <c r="J109" s="8"/>
      <c r="K109" s="8"/>
      <c r="L109" s="8"/>
      <c r="M109" s="8"/>
      <c r="N109" s="8"/>
      <c r="O109" s="8"/>
      <c r="P109" s="8"/>
      <c r="Q109" s="8"/>
      <c r="R109" s="8"/>
      <c r="S109" s="8"/>
      <c r="T109" s="8"/>
      <c r="U109" s="8"/>
      <c r="V109" s="8"/>
      <c r="W109" s="8"/>
      <c r="X109" s="8"/>
    </row>
    <row r="110" spans="1:24">
      <c r="A110" s="8"/>
      <c r="B110" s="8"/>
      <c r="C110" s="8"/>
      <c r="D110" s="8"/>
      <c r="E110" s="8"/>
      <c r="F110" s="8"/>
      <c r="G110" s="8"/>
      <c r="H110" s="8"/>
      <c r="I110" s="8"/>
      <c r="J110" s="8"/>
      <c r="K110" s="8"/>
      <c r="L110" s="8"/>
      <c r="M110" s="8"/>
      <c r="N110" s="8"/>
      <c r="O110" s="8"/>
      <c r="P110" s="8"/>
      <c r="Q110" s="8"/>
      <c r="R110" s="8"/>
      <c r="S110" s="8"/>
      <c r="T110" s="8"/>
      <c r="U110" s="8"/>
      <c r="V110" s="8"/>
      <c r="W110" s="8"/>
      <c r="X110" s="8"/>
    </row>
    <row r="111" spans="1:24">
      <c r="A111" s="8"/>
      <c r="B111" s="8"/>
      <c r="C111" s="8"/>
      <c r="D111" s="8"/>
      <c r="E111" s="8"/>
      <c r="F111" s="8"/>
      <c r="G111" s="8"/>
      <c r="H111" s="8"/>
      <c r="I111" s="8"/>
      <c r="J111" s="8"/>
      <c r="K111" s="8"/>
      <c r="L111" s="8"/>
      <c r="M111" s="8"/>
      <c r="N111" s="8"/>
      <c r="O111" s="8"/>
      <c r="P111" s="8"/>
      <c r="Q111" s="8"/>
      <c r="R111" s="8"/>
      <c r="S111" s="8"/>
      <c r="T111" s="8"/>
      <c r="U111" s="8"/>
      <c r="V111" s="8"/>
      <c r="W111" s="8"/>
      <c r="X111" s="8"/>
    </row>
    <row r="112" spans="1:24">
      <c r="A112" s="8"/>
      <c r="B112" s="8"/>
      <c r="C112" s="8"/>
      <c r="D112" s="8"/>
      <c r="E112" s="8"/>
      <c r="F112" s="8"/>
      <c r="G112" s="8"/>
      <c r="H112" s="8"/>
      <c r="I112" s="8"/>
      <c r="J112" s="8"/>
      <c r="K112" s="8"/>
      <c r="L112" s="8"/>
      <c r="M112" s="8"/>
      <c r="N112" s="8"/>
      <c r="O112" s="8"/>
      <c r="P112" s="8"/>
      <c r="Q112" s="8"/>
      <c r="R112" s="8"/>
      <c r="S112" s="8"/>
      <c r="T112" s="8"/>
      <c r="U112" s="8"/>
      <c r="V112" s="8"/>
      <c r="W112" s="8"/>
      <c r="X112" s="8"/>
    </row>
    <row r="113" spans="1:24">
      <c r="A113" s="8"/>
      <c r="B113" s="8"/>
      <c r="C113" s="8"/>
      <c r="D113" s="8"/>
      <c r="E113" s="8"/>
      <c r="F113" s="8"/>
      <c r="G113" s="8"/>
      <c r="H113" s="8"/>
      <c r="I113" s="8"/>
      <c r="J113" s="8"/>
      <c r="K113" s="8"/>
      <c r="L113" s="8"/>
      <c r="M113" s="8"/>
      <c r="N113" s="8"/>
      <c r="O113" s="8"/>
      <c r="P113" s="8"/>
      <c r="Q113" s="8"/>
      <c r="R113" s="8"/>
      <c r="S113" s="8"/>
      <c r="T113" s="8"/>
      <c r="U113" s="8"/>
      <c r="V113" s="8"/>
      <c r="W113" s="8"/>
      <c r="X113" s="8"/>
    </row>
    <row r="114" spans="1:24">
      <c r="A114" s="8"/>
      <c r="B114" s="8"/>
      <c r="C114" s="8"/>
      <c r="D114" s="8"/>
      <c r="E114" s="8"/>
      <c r="F114" s="8"/>
      <c r="G114" s="8"/>
      <c r="H114" s="8"/>
      <c r="I114" s="8"/>
      <c r="J114" s="8"/>
      <c r="K114" s="8"/>
      <c r="L114" s="8"/>
      <c r="M114" s="8"/>
      <c r="N114" s="8"/>
      <c r="O114" s="8"/>
      <c r="P114" s="8"/>
      <c r="Q114" s="8"/>
      <c r="R114" s="8"/>
      <c r="S114" s="8"/>
      <c r="T114" s="8"/>
      <c r="U114" s="8"/>
      <c r="V114" s="8"/>
      <c r="W114" s="8"/>
      <c r="X114" s="8"/>
    </row>
    <row r="115" spans="1:24">
      <c r="A115" s="8"/>
      <c r="B115" s="8"/>
      <c r="C115" s="8"/>
      <c r="D115" s="8"/>
      <c r="E115" s="8"/>
      <c r="F115" s="8"/>
      <c r="G115" s="8"/>
      <c r="H115" s="8"/>
      <c r="I115" s="8"/>
      <c r="J115" s="8"/>
      <c r="K115" s="8"/>
      <c r="L115" s="8"/>
      <c r="M115" s="8"/>
      <c r="N115" s="8"/>
      <c r="O115" s="8"/>
      <c r="P115" s="8"/>
      <c r="Q115" s="8"/>
      <c r="R115" s="8"/>
      <c r="S115" s="8"/>
      <c r="T115" s="8"/>
      <c r="U115" s="8"/>
      <c r="V115" s="8"/>
      <c r="W115" s="8"/>
      <c r="X115" s="8"/>
    </row>
  </sheetData>
  <phoneticPr fontId="2" type="noConversion"/>
  <conditionalFormatting sqref="A7:E7">
    <cfRule type="expression" dxfId="2" priority="1" stopIfTrue="1">
      <formula>$A$7=0</formula>
    </cfRule>
  </conditionalFormatting>
  <conditionalFormatting sqref="F7:K7">
    <cfRule type="expression" dxfId="1" priority="2" stopIfTrue="1">
      <formula>$A$7=0</formula>
    </cfRule>
    <cfRule type="expression" dxfId="0" priority="3" stopIfTrue="1">
      <formula>$F$7="Решение найдено"</formula>
    </cfRule>
  </conditionalFormatting>
  <pageMargins left="0.75" right="0.75" top="1" bottom="1" header="0.5" footer="0.5"/>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30" r:id="rId4" name="Drop Down 106">
              <controlPr defaultSize="0" autoLine="0" autoPict="0">
                <anchor moveWithCells="1">
                  <from>
                    <xdr:col>7</xdr:col>
                    <xdr:colOff>800100</xdr:colOff>
                    <xdr:row>4</xdr:row>
                    <xdr:rowOff>0</xdr:rowOff>
                  </from>
                  <to>
                    <xdr:col>8</xdr:col>
                    <xdr:colOff>900113</xdr:colOff>
                    <xdr:row>4</xdr:row>
                    <xdr:rowOff>214313</xdr:rowOff>
                  </to>
                </anchor>
              </controlPr>
            </control>
          </mc:Choice>
        </mc:AlternateContent>
        <mc:AlternateContent xmlns:mc="http://schemas.openxmlformats.org/markup-compatibility/2006">
          <mc:Choice Requires="x14">
            <control shapeId="1189" r:id="rId5" name="List Box 165">
              <controlPr defaultSize="0" autoLine="0" autoPict="0">
                <anchor moveWithCells="1">
                  <from>
                    <xdr:col>5</xdr:col>
                    <xdr:colOff>723900</xdr:colOff>
                    <xdr:row>3</xdr:row>
                    <xdr:rowOff>61913</xdr:rowOff>
                  </from>
                  <to>
                    <xdr:col>7</xdr:col>
                    <xdr:colOff>785813</xdr:colOff>
                    <xdr:row>5</xdr:row>
                    <xdr:rowOff>0</xdr:rowOff>
                  </to>
                </anchor>
              </controlPr>
            </control>
          </mc:Choice>
        </mc:AlternateContent>
        <mc:AlternateContent xmlns:mc="http://schemas.openxmlformats.org/markup-compatibility/2006">
          <mc:Choice Requires="x14">
            <control shapeId="1289" r:id="rId6" name="Drop Down 265">
              <controlPr defaultSize="0" autoLine="0" autoPict="0">
                <anchor moveWithCells="1">
                  <from>
                    <xdr:col>8</xdr:col>
                    <xdr:colOff>890588</xdr:colOff>
                    <xdr:row>4</xdr:row>
                    <xdr:rowOff>0</xdr:rowOff>
                  </from>
                  <to>
                    <xdr:col>10</xdr:col>
                    <xdr:colOff>14288</xdr:colOff>
                    <xdr:row>5</xdr:row>
                    <xdr:rowOff>0</xdr:rowOff>
                  </to>
                </anchor>
              </controlPr>
            </control>
          </mc:Choice>
        </mc:AlternateContent>
        <mc:AlternateContent xmlns:mc="http://schemas.openxmlformats.org/markup-compatibility/2006">
          <mc:Choice Requires="x14">
            <control shapeId="1293" r:id="rId7" name="Button 269">
              <controlPr defaultSize="0" print="0" autoFill="0" autoPict="0" macro="[0]!CheckTimeForIteration">
                <anchor moveWithCells="1">
                  <from>
                    <xdr:col>0</xdr:col>
                    <xdr:colOff>85725</xdr:colOff>
                    <xdr:row>12</xdr:row>
                    <xdr:rowOff>71438</xdr:rowOff>
                  </from>
                  <to>
                    <xdr:col>1</xdr:col>
                    <xdr:colOff>300038</xdr:colOff>
                    <xdr:row>13</xdr:row>
                    <xdr:rowOff>100013</xdr:rowOff>
                  </to>
                </anchor>
              </controlPr>
            </control>
          </mc:Choice>
        </mc:AlternateContent>
        <mc:AlternateContent xmlns:mc="http://schemas.openxmlformats.org/markup-compatibility/2006">
          <mc:Choice Requires="x14">
            <control shapeId="1294" r:id="rId8" name="Button 270">
              <controlPr defaultSize="0" print="0" autoFill="0" autoPict="0" macro="[0]!CheckTimeWithTolerance">
                <anchor moveWithCells="1">
                  <from>
                    <xdr:col>2</xdr:col>
                    <xdr:colOff>190500</xdr:colOff>
                    <xdr:row>12</xdr:row>
                    <xdr:rowOff>142875</xdr:rowOff>
                  </from>
                  <to>
                    <xdr:col>3</xdr:col>
                    <xdr:colOff>295275</xdr:colOff>
                    <xdr:row>14</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131"/>
  <sheetViews>
    <sheetView workbookViewId="0">
      <selection activeCell="H6" sqref="H6"/>
    </sheetView>
  </sheetViews>
  <sheetFormatPr defaultColWidth="8.796875" defaultRowHeight="12.75"/>
  <cols>
    <col min="1" max="1" width="3.6640625" customWidth="1"/>
    <col min="2" max="2" width="13.6640625" customWidth="1"/>
    <col min="3" max="3" width="14.33203125" customWidth="1"/>
    <col min="4" max="4" width="13.6640625" customWidth="1"/>
    <col min="5" max="5" width="13.796875" customWidth="1"/>
    <col min="6" max="6" width="13" customWidth="1"/>
    <col min="7" max="7" width="15.33203125" customWidth="1"/>
    <col min="8" max="8" width="12.33203125" customWidth="1"/>
    <col min="9" max="9" width="11.1328125" customWidth="1"/>
    <col min="10" max="10" width="10.33203125" customWidth="1"/>
  </cols>
  <sheetData>
    <row r="1" spans="1:14" ht="17.25">
      <c r="A1" s="3" t="s">
        <v>20</v>
      </c>
    </row>
    <row r="2" spans="1:14">
      <c r="A2" s="1" t="s">
        <v>10</v>
      </c>
    </row>
    <row r="3" spans="1:14">
      <c r="A3" s="1" t="s">
        <v>24</v>
      </c>
    </row>
    <row r="4" spans="1:14">
      <c r="A4" s="8"/>
    </row>
    <row r="5" spans="1:14" ht="13.15">
      <c r="A5" s="35" t="s">
        <v>40</v>
      </c>
    </row>
    <row r="6" spans="1:14">
      <c r="A6" s="50" t="s">
        <v>41</v>
      </c>
    </row>
    <row r="7" spans="1:14">
      <c r="A7" s="50" t="s">
        <v>42</v>
      </c>
    </row>
    <row r="8" spans="1:14">
      <c r="A8" s="51" t="s">
        <v>44</v>
      </c>
      <c r="B8" s="36"/>
      <c r="C8" s="36"/>
      <c r="D8" s="36"/>
      <c r="E8" s="36"/>
      <c r="F8" s="36"/>
      <c r="G8" s="36"/>
      <c r="H8" s="36"/>
      <c r="I8" s="36"/>
      <c r="J8" s="36"/>
      <c r="K8" s="36"/>
      <c r="L8" s="8"/>
      <c r="M8" s="8"/>
      <c r="N8" s="8"/>
    </row>
    <row r="9" spans="1:14">
      <c r="A9" s="36"/>
      <c r="B9" s="36"/>
      <c r="C9" s="36"/>
      <c r="D9" s="36"/>
      <c r="E9" s="36"/>
      <c r="F9" s="36"/>
      <c r="G9" s="36"/>
      <c r="H9" s="36"/>
      <c r="I9" s="36"/>
      <c r="J9" s="36"/>
      <c r="K9" s="36"/>
      <c r="L9" s="8"/>
      <c r="M9" s="8"/>
      <c r="N9" s="8"/>
    </row>
    <row r="10" spans="1:14" ht="13.5" thickBot="1">
      <c r="A10" s="37" t="s">
        <v>52</v>
      </c>
      <c r="B10" s="8"/>
      <c r="C10" s="8"/>
      <c r="D10" s="8"/>
      <c r="E10" s="8"/>
      <c r="F10" s="8"/>
      <c r="G10" s="8"/>
      <c r="H10" s="8"/>
      <c r="I10" s="8"/>
      <c r="J10" s="8"/>
      <c r="K10" s="8"/>
      <c r="L10" s="8"/>
      <c r="M10" s="8"/>
      <c r="N10" s="8"/>
    </row>
    <row r="11" spans="1:14" ht="56.25" customHeight="1" thickBot="1">
      <c r="A11" s="96" t="s">
        <v>4</v>
      </c>
      <c r="B11" s="97" t="s">
        <v>5</v>
      </c>
      <c r="C11" s="97" t="s">
        <v>8</v>
      </c>
      <c r="D11" s="97" t="s">
        <v>6</v>
      </c>
      <c r="E11" s="97" t="s">
        <v>9</v>
      </c>
      <c r="F11" s="97" t="s">
        <v>43</v>
      </c>
      <c r="G11" s="98" t="s">
        <v>12</v>
      </c>
      <c r="H11" s="97" t="s">
        <v>7</v>
      </c>
      <c r="I11" s="97" t="s">
        <v>29</v>
      </c>
      <c r="J11" s="99" t="s">
        <v>70</v>
      </c>
      <c r="K11" s="8"/>
      <c r="L11" s="8"/>
      <c r="M11" s="8"/>
      <c r="N11" s="8"/>
    </row>
    <row r="12" spans="1:14">
      <c r="A12" s="56">
        <v>1</v>
      </c>
      <c r="B12" s="57">
        <v>1883.8015580947449</v>
      </c>
      <c r="C12" s="58">
        <v>5.7296719375418982E+32</v>
      </c>
      <c r="D12" s="58">
        <v>1.5114963844952886E+35</v>
      </c>
      <c r="E12" s="58">
        <v>9.2820685388178744E+35</v>
      </c>
      <c r="F12" s="58">
        <v>53</v>
      </c>
      <c r="G12" s="58">
        <v>0.1</v>
      </c>
      <c r="H12" s="58">
        <v>1.0000000000031264</v>
      </c>
      <c r="I12" s="83">
        <f>ABS(H12-B12)</f>
        <v>1882.8015580947417</v>
      </c>
      <c r="J12" s="100">
        <f>-LN(G12)</f>
        <v>2.3025850929940455</v>
      </c>
      <c r="K12" s="19"/>
      <c r="L12" s="19"/>
      <c r="M12" s="19"/>
      <c r="N12" s="8"/>
    </row>
    <row r="13" spans="1:14">
      <c r="A13" s="41">
        <v>2</v>
      </c>
      <c r="B13" s="42">
        <v>1998.7641796588323</v>
      </c>
      <c r="C13" s="43">
        <v>4.2003185355349217E+32</v>
      </c>
      <c r="D13" s="43">
        <v>1.5909302044176723E+35</v>
      </c>
      <c r="E13" s="43">
        <v>6.8045160275665735E+35</v>
      </c>
      <c r="F13" s="43">
        <v>55</v>
      </c>
      <c r="G13" s="43">
        <v>0.01</v>
      </c>
      <c r="H13" s="43">
        <v>1.0000000000031264</v>
      </c>
      <c r="I13" s="84">
        <f t="shared" ref="I13:I22" si="0">ABS(H13-B13)</f>
        <v>1997.7641796588291</v>
      </c>
      <c r="J13" s="101">
        <f t="shared" ref="J13:J22" si="1">-LN(G13)</f>
        <v>4.6051701859880909</v>
      </c>
      <c r="K13" s="19"/>
      <c r="L13" s="19"/>
      <c r="M13" s="19"/>
      <c r="N13" s="8"/>
    </row>
    <row r="14" spans="1:14">
      <c r="A14" s="41">
        <v>3</v>
      </c>
      <c r="B14" s="42">
        <v>2001.9003294936481</v>
      </c>
      <c r="C14" s="43">
        <v>4.1659423571585821E+32</v>
      </c>
      <c r="D14" s="43">
        <v>1.5909747588504076E+35</v>
      </c>
      <c r="E14" s="43">
        <v>6.7488266185969031E+35</v>
      </c>
      <c r="F14" s="43">
        <v>56</v>
      </c>
      <c r="G14" s="43">
        <v>1.0000000000000002E-3</v>
      </c>
      <c r="H14" s="43">
        <v>1.0000000000031264</v>
      </c>
      <c r="I14" s="84">
        <f t="shared" si="0"/>
        <v>2000.9003294936449</v>
      </c>
      <c r="J14" s="101">
        <f t="shared" si="1"/>
        <v>6.9077552789821368</v>
      </c>
      <c r="K14" s="19"/>
      <c r="L14" s="19"/>
      <c r="M14" s="19"/>
      <c r="N14" s="8"/>
    </row>
    <row r="15" spans="1:14">
      <c r="A15" s="41">
        <v>4</v>
      </c>
      <c r="B15" s="42">
        <v>2001.9003294936481</v>
      </c>
      <c r="C15" s="43">
        <v>4.1659423571585821E+32</v>
      </c>
      <c r="D15" s="43">
        <v>1.5909747588504076E+35</v>
      </c>
      <c r="E15" s="43">
        <v>6.7488266185969031E+35</v>
      </c>
      <c r="F15" s="43">
        <v>56</v>
      </c>
      <c r="G15" s="43">
        <v>1.0000000000000003E-4</v>
      </c>
      <c r="H15" s="43">
        <v>1.0000000000031264</v>
      </c>
      <c r="I15" s="84">
        <f t="shared" si="0"/>
        <v>2000.9003294936449</v>
      </c>
      <c r="J15" s="101">
        <f t="shared" si="1"/>
        <v>9.2103403719761818</v>
      </c>
      <c r="K15" s="19"/>
      <c r="L15" s="19"/>
      <c r="M15" s="19"/>
      <c r="N15" s="8"/>
    </row>
    <row r="16" spans="1:14">
      <c r="A16" s="41">
        <v>5</v>
      </c>
      <c r="B16" s="42">
        <v>2001.9313436624195</v>
      </c>
      <c r="C16" s="43">
        <v>4.1656040790997652E+32</v>
      </c>
      <c r="D16" s="43">
        <v>1.590974763096229E+35</v>
      </c>
      <c r="E16" s="43">
        <v>6.7482786081416196E+35</v>
      </c>
      <c r="F16" s="43">
        <v>57</v>
      </c>
      <c r="G16" s="43">
        <v>1.0000000000000006E-5</v>
      </c>
      <c r="H16" s="43">
        <v>1.0000000000031264</v>
      </c>
      <c r="I16" s="84">
        <f t="shared" si="0"/>
        <v>2000.9313436624163</v>
      </c>
      <c r="J16" s="101">
        <f t="shared" si="1"/>
        <v>11.512925464970229</v>
      </c>
      <c r="K16" s="19"/>
      <c r="L16" s="19"/>
      <c r="M16" s="19"/>
      <c r="N16" s="8"/>
    </row>
    <row r="17" spans="1:14">
      <c r="A17" s="41">
        <v>6</v>
      </c>
      <c r="B17" s="42">
        <v>2001.9313436624195</v>
      </c>
      <c r="C17" s="43">
        <v>4.1656040790997652E+32</v>
      </c>
      <c r="D17" s="43">
        <v>1.590974763096229E+35</v>
      </c>
      <c r="E17" s="43">
        <v>6.7482786081416196E+35</v>
      </c>
      <c r="F17" s="43">
        <v>57</v>
      </c>
      <c r="G17" s="43">
        <v>1.0000000000000006E-6</v>
      </c>
      <c r="H17" s="43">
        <v>1.0000000000031264</v>
      </c>
      <c r="I17" s="84">
        <f t="shared" si="0"/>
        <v>2000.9313436624163</v>
      </c>
      <c r="J17" s="101">
        <f t="shared" si="1"/>
        <v>13.815510557964274</v>
      </c>
      <c r="K17" s="19"/>
      <c r="L17" s="19"/>
      <c r="M17" s="19"/>
      <c r="N17" s="8"/>
    </row>
    <row r="18" spans="1:14">
      <c r="A18" s="41">
        <v>7</v>
      </c>
      <c r="B18" s="42">
        <v>2001.9313436624195</v>
      </c>
      <c r="C18" s="43">
        <v>4.1656040790997652E+32</v>
      </c>
      <c r="D18" s="43">
        <v>1.590974763096229E+35</v>
      </c>
      <c r="E18" s="43">
        <v>6.7482786081416196E+35</v>
      </c>
      <c r="F18" s="43">
        <v>57</v>
      </c>
      <c r="G18" s="43">
        <v>1.0000000000000006E-7</v>
      </c>
      <c r="H18" s="43">
        <v>1.0000000000031264</v>
      </c>
      <c r="I18" s="84">
        <f t="shared" si="0"/>
        <v>2000.9313436624163</v>
      </c>
      <c r="J18" s="101">
        <f t="shared" si="1"/>
        <v>16.11809565095832</v>
      </c>
      <c r="K18" s="19"/>
      <c r="L18" s="19"/>
      <c r="M18" s="19"/>
      <c r="N18" s="8"/>
    </row>
    <row r="19" spans="1:14">
      <c r="A19" s="41">
        <v>8</v>
      </c>
      <c r="B19" s="42">
        <v>2001.9313436624195</v>
      </c>
      <c r="C19" s="43">
        <v>4.1656040790997652E+32</v>
      </c>
      <c r="D19" s="43">
        <v>1.590974763096229E+35</v>
      </c>
      <c r="E19" s="43">
        <v>6.7482786081416196E+35</v>
      </c>
      <c r="F19" s="43">
        <v>57</v>
      </c>
      <c r="G19" s="43">
        <v>1.0000000000000008E-8</v>
      </c>
      <c r="H19" s="43">
        <v>1.0000000000031264</v>
      </c>
      <c r="I19" s="84">
        <f t="shared" si="0"/>
        <v>2000.9313436624163</v>
      </c>
      <c r="J19" s="101">
        <f t="shared" si="1"/>
        <v>18.420680743952364</v>
      </c>
      <c r="K19" s="19"/>
      <c r="L19" s="19"/>
      <c r="M19" s="19"/>
      <c r="N19" s="8"/>
    </row>
    <row r="20" spans="1:14">
      <c r="A20" s="41">
        <v>9</v>
      </c>
      <c r="B20" s="42">
        <v>2001.9313466616909</v>
      </c>
      <c r="C20" s="43">
        <v>4.1656040463876755E+32</v>
      </c>
      <c r="D20" s="43">
        <v>1.5909747630962336E+35</v>
      </c>
      <c r="E20" s="43">
        <v>6.7482785551480345E+35</v>
      </c>
      <c r="F20" s="43">
        <v>58</v>
      </c>
      <c r="G20" s="43">
        <v>1.0000000000000009E-9</v>
      </c>
      <c r="H20" s="43">
        <v>1.0000000000031264</v>
      </c>
      <c r="I20" s="84">
        <f t="shared" si="0"/>
        <v>2000.9313466616877</v>
      </c>
      <c r="J20" s="101">
        <f t="shared" si="1"/>
        <v>20.72326583694641</v>
      </c>
      <c r="K20" s="19"/>
      <c r="L20" s="19"/>
      <c r="M20" s="19"/>
      <c r="N20" s="8"/>
    </row>
    <row r="21" spans="1:14">
      <c r="A21" s="41">
        <v>10</v>
      </c>
      <c r="B21" s="42">
        <v>2001.9313466616909</v>
      </c>
      <c r="C21" s="43">
        <v>4.1656040463876755E+32</v>
      </c>
      <c r="D21" s="43">
        <v>1.5909747630962336E+35</v>
      </c>
      <c r="E21" s="43">
        <v>6.7482785551480345E+35</v>
      </c>
      <c r="F21" s="43">
        <v>58</v>
      </c>
      <c r="G21" s="43">
        <v>1.0000000000000009E-10</v>
      </c>
      <c r="H21" s="43">
        <v>1.0000000000031264</v>
      </c>
      <c r="I21" s="84">
        <f t="shared" si="0"/>
        <v>2000.9313466616877</v>
      </c>
      <c r="J21" s="101">
        <f t="shared" si="1"/>
        <v>23.025850929940457</v>
      </c>
      <c r="K21" s="19"/>
      <c r="L21" s="19"/>
      <c r="M21" s="19"/>
      <c r="N21" s="8"/>
    </row>
    <row r="22" spans="1:14" ht="13.15" thickBot="1">
      <c r="A22" s="45">
        <v>11</v>
      </c>
      <c r="B22" s="46">
        <v>2001.9313466616909</v>
      </c>
      <c r="C22" s="47">
        <v>4.1656040463876755E+32</v>
      </c>
      <c r="D22" s="47">
        <v>1.5909747630962336E+35</v>
      </c>
      <c r="E22" s="47">
        <v>6.7482785551480345E+35</v>
      </c>
      <c r="F22" s="47">
        <v>58</v>
      </c>
      <c r="G22" s="47">
        <v>9.9999999999999994E-12</v>
      </c>
      <c r="H22" s="47">
        <v>1.0000000000031264</v>
      </c>
      <c r="I22" s="85">
        <f t="shared" si="0"/>
        <v>2000.9313466616877</v>
      </c>
      <c r="J22" s="102">
        <f t="shared" si="1"/>
        <v>25.328436022934504</v>
      </c>
      <c r="K22" s="19"/>
      <c r="L22" s="19"/>
      <c r="M22" s="19"/>
      <c r="N22" s="8"/>
    </row>
    <row r="23" spans="1:14">
      <c r="A23" s="76"/>
      <c r="B23" s="77"/>
      <c r="C23" s="76"/>
      <c r="D23" s="76"/>
      <c r="E23" s="76"/>
      <c r="F23" s="76"/>
      <c r="G23" s="76"/>
      <c r="H23" s="76"/>
      <c r="I23" s="78"/>
      <c r="J23" s="19"/>
      <c r="K23" s="19"/>
      <c r="L23" s="19"/>
      <c r="M23" s="19"/>
      <c r="N23" s="8"/>
    </row>
    <row r="24" spans="1:14" ht="13.15" thickBot="1">
      <c r="A24" s="19"/>
      <c r="D24" s="19"/>
      <c r="E24" s="19"/>
      <c r="F24" s="19"/>
      <c r="G24" s="19"/>
      <c r="H24" s="19"/>
      <c r="I24" s="38"/>
      <c r="J24" s="19">
        <f>126-27</f>
        <v>99</v>
      </c>
      <c r="K24" s="19"/>
      <c r="L24" s="19"/>
      <c r="M24" s="19"/>
      <c r="N24" s="8"/>
    </row>
    <row r="25" spans="1:14" ht="13.5" thickBot="1">
      <c r="A25" s="37" t="s">
        <v>67</v>
      </c>
      <c r="B25" s="8"/>
      <c r="C25" s="8"/>
      <c r="D25" s="8"/>
      <c r="E25" s="8"/>
      <c r="F25" s="8"/>
      <c r="G25" s="8"/>
      <c r="H25" s="80">
        <v>40.83533360534058</v>
      </c>
      <c r="I25" s="75">
        <f>H86-H27</f>
        <v>2409.2846827150934</v>
      </c>
      <c r="J25" s="19"/>
      <c r="K25" s="19"/>
      <c r="L25" s="19"/>
      <c r="M25" s="19"/>
      <c r="N25" s="8"/>
    </row>
    <row r="26" spans="1:14" ht="52.9" thickBot="1">
      <c r="A26" s="54" t="s">
        <v>4</v>
      </c>
      <c r="B26" s="54" t="s">
        <v>5</v>
      </c>
      <c r="C26" s="54" t="s">
        <v>8</v>
      </c>
      <c r="D26" s="54" t="s">
        <v>6</v>
      </c>
      <c r="E26" s="54" t="s">
        <v>9</v>
      </c>
      <c r="F26" s="54" t="s">
        <v>43</v>
      </c>
      <c r="G26" s="55" t="s">
        <v>12</v>
      </c>
      <c r="H26" s="54" t="s">
        <v>7</v>
      </c>
      <c r="I26" s="54" t="s">
        <v>29</v>
      </c>
      <c r="J26" s="19"/>
      <c r="K26" s="19"/>
      <c r="L26" s="19"/>
      <c r="M26" s="19"/>
      <c r="N26" s="8"/>
    </row>
    <row r="27" spans="1:14">
      <c r="A27" s="56">
        <v>1</v>
      </c>
      <c r="B27" s="57">
        <v>2001.9313466616909</v>
      </c>
      <c r="C27" s="58">
        <v>4.1656040463876755E+32</v>
      </c>
      <c r="D27" s="58">
        <v>1.5909747630962336E+35</v>
      </c>
      <c r="E27" s="58">
        <v>6.7482785551480345E+35</v>
      </c>
      <c r="F27" s="58">
        <v>58</v>
      </c>
      <c r="G27" s="58">
        <v>9.9999999999999994E-12</v>
      </c>
      <c r="H27" s="70">
        <f t="shared" ref="H27:H75" si="2">H28-$H$25</f>
        <v>1.0000000000031264</v>
      </c>
      <c r="I27" s="59">
        <f t="shared" ref="I27:I91" si="3">ABS(H27-$B$22)</f>
        <v>2000.9313466616877</v>
      </c>
      <c r="J27" s="19"/>
      <c r="K27" s="19"/>
      <c r="L27" s="19"/>
      <c r="M27" s="19"/>
      <c r="N27" s="8"/>
    </row>
    <row r="28" spans="1:14">
      <c r="A28" s="41">
        <v>2</v>
      </c>
      <c r="B28" s="42">
        <v>2001.9313466616911</v>
      </c>
      <c r="C28" s="43">
        <v>4.1656040463876755E+32</v>
      </c>
      <c r="D28" s="43">
        <v>1.5909747630962345E+35</v>
      </c>
      <c r="E28" s="43">
        <v>6.7482785551480345E+35</v>
      </c>
      <c r="F28" s="43">
        <v>33</v>
      </c>
      <c r="G28" s="43">
        <v>9.9999999999999994E-12</v>
      </c>
      <c r="H28" s="71">
        <f t="shared" si="2"/>
        <v>41.835333605343706</v>
      </c>
      <c r="I28" s="44">
        <f t="shared" si="3"/>
        <v>1960.0960130563471</v>
      </c>
      <c r="J28" s="19"/>
      <c r="K28" s="19"/>
      <c r="L28" s="19"/>
      <c r="M28" s="19"/>
      <c r="N28" s="8"/>
    </row>
    <row r="29" spans="1:14">
      <c r="A29" s="41">
        <v>3</v>
      </c>
      <c r="B29" s="42">
        <v>2001.9313466616802</v>
      </c>
      <c r="C29" s="43">
        <v>4.1656040463877937E+32</v>
      </c>
      <c r="D29" s="43">
        <v>1.5909747630962343E+35</v>
      </c>
      <c r="E29" s="43">
        <v>6.7482785551482264E+35</v>
      </c>
      <c r="F29" s="43">
        <v>28</v>
      </c>
      <c r="G29" s="43">
        <v>9.9999999999999994E-12</v>
      </c>
      <c r="H29" s="71">
        <f t="shared" si="2"/>
        <v>82.670667210684286</v>
      </c>
      <c r="I29" s="44">
        <f t="shared" si="3"/>
        <v>1919.2606794510066</v>
      </c>
      <c r="J29" s="19"/>
      <c r="K29" s="19"/>
      <c r="L29" s="19"/>
      <c r="M29" s="19"/>
      <c r="N29" s="8"/>
    </row>
    <row r="30" spans="1:14">
      <c r="A30" s="41">
        <v>4</v>
      </c>
      <c r="B30" s="42">
        <v>2001.9313466591977</v>
      </c>
      <c r="C30" s="43">
        <v>4.165604046414847E+32</v>
      </c>
      <c r="D30" s="43">
        <v>1.5909747630962258E+35</v>
      </c>
      <c r="E30" s="43">
        <v>6.7482785551920514E+35</v>
      </c>
      <c r="F30" s="43">
        <v>25</v>
      </c>
      <c r="G30" s="43">
        <v>9.9999999999999994E-12</v>
      </c>
      <c r="H30" s="71">
        <f t="shared" si="2"/>
        <v>123.50600081602487</v>
      </c>
      <c r="I30" s="44">
        <f t="shared" si="3"/>
        <v>1878.425345845666</v>
      </c>
      <c r="J30" s="19"/>
      <c r="K30" s="19"/>
      <c r="L30" s="19"/>
      <c r="M30" s="19"/>
      <c r="N30" s="8"/>
    </row>
    <row r="31" spans="1:14">
      <c r="A31" s="41">
        <v>5</v>
      </c>
      <c r="B31" s="42">
        <v>2001.9313466549247</v>
      </c>
      <c r="C31" s="43">
        <v>4.1656040464614351E+32</v>
      </c>
      <c r="D31" s="43">
        <v>1.5909747630962194E+35</v>
      </c>
      <c r="E31" s="43">
        <v>6.7482785552675252E+35</v>
      </c>
      <c r="F31" s="43">
        <v>23</v>
      </c>
      <c r="G31" s="43">
        <v>9.9999999999999994E-12</v>
      </c>
      <c r="H31" s="71">
        <f t="shared" si="2"/>
        <v>164.34133442136545</v>
      </c>
      <c r="I31" s="44">
        <f t="shared" si="3"/>
        <v>1837.5900122403254</v>
      </c>
      <c r="J31" s="19"/>
      <c r="K31" s="19"/>
      <c r="L31" s="19"/>
      <c r="M31" s="19"/>
      <c r="N31" s="8"/>
    </row>
    <row r="32" spans="1:14">
      <c r="A32" s="41">
        <v>6</v>
      </c>
      <c r="B32" s="42">
        <v>2001.9313466616911</v>
      </c>
      <c r="C32" s="43">
        <v>4.1656040463876755E+32</v>
      </c>
      <c r="D32" s="43">
        <v>1.5909747630962345E+35</v>
      </c>
      <c r="E32" s="43">
        <v>6.7482785551480345E+35</v>
      </c>
      <c r="F32" s="43">
        <v>22</v>
      </c>
      <c r="G32" s="43">
        <v>9.9999999999999994E-12</v>
      </c>
      <c r="H32" s="71">
        <f t="shared" si="2"/>
        <v>205.17666802670601</v>
      </c>
      <c r="I32" s="44">
        <f t="shared" si="3"/>
        <v>1796.7546786349849</v>
      </c>
      <c r="J32" s="19"/>
      <c r="K32" s="19"/>
      <c r="L32" s="19"/>
      <c r="M32" s="19"/>
      <c r="N32" s="8"/>
    </row>
    <row r="33" spans="1:14">
      <c r="A33" s="41">
        <v>7</v>
      </c>
      <c r="B33" s="42">
        <v>2001.9313466616911</v>
      </c>
      <c r="C33" s="43">
        <v>4.1656040463876755E+32</v>
      </c>
      <c r="D33" s="43">
        <v>1.5909747630962345E+35</v>
      </c>
      <c r="E33" s="43">
        <v>6.7482785551480345E+35</v>
      </c>
      <c r="F33" s="43">
        <v>21</v>
      </c>
      <c r="G33" s="43">
        <v>9.9999999999999994E-12</v>
      </c>
      <c r="H33" s="71">
        <f t="shared" si="2"/>
        <v>246.01200163204658</v>
      </c>
      <c r="I33" s="44">
        <f t="shared" si="3"/>
        <v>1755.9193450296443</v>
      </c>
      <c r="J33" s="19"/>
      <c r="K33" s="19"/>
      <c r="L33" s="19"/>
      <c r="M33" s="19"/>
      <c r="N33" s="8"/>
    </row>
    <row r="34" spans="1:14">
      <c r="A34" s="41">
        <v>8</v>
      </c>
      <c r="B34" s="42">
        <v>2001.9313466616914</v>
      </c>
      <c r="C34" s="43">
        <v>4.1656040463876164E+32</v>
      </c>
      <c r="D34" s="43">
        <v>1.5909747630962129E+35</v>
      </c>
      <c r="E34" s="43">
        <v>6.7482785551479386E+35</v>
      </c>
      <c r="F34" s="43">
        <v>20</v>
      </c>
      <c r="G34" s="43">
        <v>9.9999999999999994E-12</v>
      </c>
      <c r="H34" s="71">
        <f t="shared" si="2"/>
        <v>286.84733523738714</v>
      </c>
      <c r="I34" s="44">
        <f t="shared" si="3"/>
        <v>1715.0840114243038</v>
      </c>
      <c r="J34" s="19"/>
      <c r="K34" s="19"/>
      <c r="L34" s="19"/>
      <c r="M34" s="19"/>
      <c r="N34" s="8"/>
    </row>
    <row r="35" spans="1:14">
      <c r="A35" s="41">
        <v>9</v>
      </c>
      <c r="B35" s="42">
        <v>2001.9313466616911</v>
      </c>
      <c r="C35" s="43">
        <v>4.1656040463876755E+32</v>
      </c>
      <c r="D35" s="43">
        <v>1.5909747630962345E+35</v>
      </c>
      <c r="E35" s="43">
        <v>6.7482785551480345E+35</v>
      </c>
      <c r="F35" s="43">
        <v>19</v>
      </c>
      <c r="G35" s="43">
        <v>9.9999999999999994E-12</v>
      </c>
      <c r="H35" s="71">
        <f t="shared" si="2"/>
        <v>327.68266884272771</v>
      </c>
      <c r="I35" s="44">
        <f t="shared" si="3"/>
        <v>1674.2486778189632</v>
      </c>
      <c r="J35" s="19"/>
      <c r="K35" s="19"/>
      <c r="L35" s="19"/>
      <c r="M35" s="19"/>
      <c r="N35" s="8"/>
    </row>
    <row r="36" spans="1:14">
      <c r="A36" s="41">
        <v>10</v>
      </c>
      <c r="B36" s="42">
        <v>2001.9313466616911</v>
      </c>
      <c r="C36" s="43">
        <v>4.1656040463876755E+32</v>
      </c>
      <c r="D36" s="43">
        <v>1.5909747630962345E+35</v>
      </c>
      <c r="E36" s="43">
        <v>6.7482785551480345E+35</v>
      </c>
      <c r="F36" s="43">
        <v>18</v>
      </c>
      <c r="G36" s="43">
        <v>9.9999999999999994E-12</v>
      </c>
      <c r="H36" s="71">
        <f t="shared" si="2"/>
        <v>368.51800244806827</v>
      </c>
      <c r="I36" s="44">
        <f t="shared" si="3"/>
        <v>1633.4133442136226</v>
      </c>
      <c r="J36" s="19"/>
      <c r="K36" s="19"/>
      <c r="L36" s="19"/>
      <c r="M36" s="19"/>
      <c r="N36" s="8"/>
    </row>
    <row r="37" spans="1:14">
      <c r="A37" s="41">
        <v>11</v>
      </c>
      <c r="B37" s="42">
        <v>2001.9313466616509</v>
      </c>
      <c r="C37" s="43">
        <v>4.1656040463880898E+32</v>
      </c>
      <c r="D37" s="43">
        <v>1.5909747630962251E+35</v>
      </c>
      <c r="E37" s="43">
        <v>6.748278555148706E+35</v>
      </c>
      <c r="F37" s="43">
        <v>17</v>
      </c>
      <c r="G37" s="43">
        <v>9.9999999999999994E-12</v>
      </c>
      <c r="H37" s="71">
        <f t="shared" si="2"/>
        <v>409.35333605340884</v>
      </c>
      <c r="I37" s="44">
        <f t="shared" si="3"/>
        <v>1592.5780106082821</v>
      </c>
      <c r="J37" s="19"/>
      <c r="K37" s="19"/>
      <c r="L37" s="19"/>
      <c r="M37" s="19"/>
      <c r="N37" s="8"/>
    </row>
    <row r="38" spans="1:14">
      <c r="A38" s="41">
        <v>12</v>
      </c>
      <c r="B38" s="42">
        <v>2001.9313466616914</v>
      </c>
      <c r="C38" s="43">
        <v>4.1656040463876164E+32</v>
      </c>
      <c r="D38" s="43">
        <v>1.5909747630962129E+35</v>
      </c>
      <c r="E38" s="43">
        <v>6.7482785551479386E+35</v>
      </c>
      <c r="F38" s="43">
        <v>17</v>
      </c>
      <c r="G38" s="43">
        <v>9.9999999999999994E-12</v>
      </c>
      <c r="H38" s="71">
        <f t="shared" si="2"/>
        <v>450.1886696587494</v>
      </c>
      <c r="I38" s="44">
        <f t="shared" si="3"/>
        <v>1551.7426770029415</v>
      </c>
      <c r="J38" s="19"/>
      <c r="K38" s="19"/>
      <c r="L38" s="19"/>
      <c r="M38" s="19"/>
      <c r="N38" s="8"/>
    </row>
    <row r="39" spans="1:14">
      <c r="A39" s="41">
        <v>13</v>
      </c>
      <c r="B39" s="42">
        <v>2001.9313466616909</v>
      </c>
      <c r="C39" s="43">
        <v>4.1656040463876755E+32</v>
      </c>
      <c r="D39" s="43">
        <v>1.5909747630962336E+35</v>
      </c>
      <c r="E39" s="43">
        <v>6.7482785551480345E+35</v>
      </c>
      <c r="F39" s="43">
        <v>16</v>
      </c>
      <c r="G39" s="43">
        <v>9.9999999999999994E-12</v>
      </c>
      <c r="H39" s="71">
        <f t="shared" si="2"/>
        <v>491.02400326408997</v>
      </c>
      <c r="I39" s="44">
        <f t="shared" si="3"/>
        <v>1510.9073433976009</v>
      </c>
      <c r="J39" s="19"/>
      <c r="K39" s="19"/>
      <c r="L39" s="19"/>
      <c r="M39" s="19"/>
      <c r="N39" s="8"/>
    </row>
    <row r="40" spans="1:14">
      <c r="A40" s="41">
        <v>14</v>
      </c>
      <c r="B40" s="42">
        <v>2001.9313466606823</v>
      </c>
      <c r="C40" s="43">
        <v>4.1656040463986564E+32</v>
      </c>
      <c r="D40" s="43">
        <v>1.590974763096226E+35</v>
      </c>
      <c r="E40" s="43">
        <v>6.7482785551658231E+35</v>
      </c>
      <c r="F40" s="43">
        <v>15</v>
      </c>
      <c r="G40" s="43">
        <v>9.9999999999999994E-12</v>
      </c>
      <c r="H40" s="71">
        <f t="shared" si="2"/>
        <v>531.85933686943054</v>
      </c>
      <c r="I40" s="44">
        <f t="shared" si="3"/>
        <v>1470.0720097922604</v>
      </c>
      <c r="J40" s="19"/>
      <c r="K40" s="19"/>
      <c r="L40" s="19"/>
      <c r="M40" s="19"/>
      <c r="N40" s="8"/>
    </row>
    <row r="41" spans="1:14">
      <c r="A41" s="41">
        <v>15</v>
      </c>
      <c r="B41" s="42">
        <v>2001.9313466616909</v>
      </c>
      <c r="C41" s="43">
        <v>4.1656040463876755E+32</v>
      </c>
      <c r="D41" s="43">
        <v>1.5909747630962336E+35</v>
      </c>
      <c r="E41" s="43">
        <v>6.7482785551480345E+35</v>
      </c>
      <c r="F41" s="43">
        <v>15</v>
      </c>
      <c r="G41" s="43">
        <v>9.9999999999999994E-12</v>
      </c>
      <c r="H41" s="71">
        <f t="shared" si="2"/>
        <v>572.6946704747711</v>
      </c>
      <c r="I41" s="44">
        <f t="shared" si="3"/>
        <v>1429.2366761869198</v>
      </c>
      <c r="J41" s="19"/>
      <c r="K41" s="19"/>
      <c r="L41" s="19"/>
      <c r="M41" s="19"/>
      <c r="N41" s="8"/>
    </row>
    <row r="42" spans="1:14">
      <c r="A42" s="41">
        <v>16</v>
      </c>
      <c r="B42" s="42">
        <v>2001.9313466608985</v>
      </c>
      <c r="C42" s="43">
        <v>4.1656040463962886E+32</v>
      </c>
      <c r="D42" s="43">
        <v>1.5909747630962223E+35</v>
      </c>
      <c r="E42" s="43">
        <v>6.7482785551619877E+35</v>
      </c>
      <c r="F42" s="43">
        <v>14</v>
      </c>
      <c r="G42" s="43">
        <v>9.9999999999999994E-12</v>
      </c>
      <c r="H42" s="71">
        <f t="shared" si="2"/>
        <v>613.53000408011167</v>
      </c>
      <c r="I42" s="44">
        <f t="shared" si="3"/>
        <v>1388.4013425815792</v>
      </c>
      <c r="J42" s="19"/>
      <c r="K42" s="19"/>
      <c r="L42" s="19"/>
      <c r="M42" s="19"/>
      <c r="N42" s="8"/>
    </row>
    <row r="43" spans="1:14">
      <c r="A43" s="41">
        <v>17</v>
      </c>
      <c r="B43" s="42">
        <v>2001.9313466616911</v>
      </c>
      <c r="C43" s="43">
        <v>4.1656040463876755E+32</v>
      </c>
      <c r="D43" s="43">
        <v>1.5909747630962345E+35</v>
      </c>
      <c r="E43" s="43">
        <v>6.7482785551480345E+35</v>
      </c>
      <c r="F43" s="43">
        <v>14</v>
      </c>
      <c r="G43" s="43">
        <v>9.9999999999999994E-12</v>
      </c>
      <c r="H43" s="71">
        <f t="shared" si="2"/>
        <v>654.36533768545223</v>
      </c>
      <c r="I43" s="44">
        <f t="shared" si="3"/>
        <v>1347.5660089762387</v>
      </c>
      <c r="J43" s="19"/>
      <c r="K43" s="19"/>
      <c r="L43" s="19"/>
      <c r="M43" s="19"/>
      <c r="N43" s="8"/>
    </row>
    <row r="44" spans="1:14">
      <c r="A44" s="41">
        <v>18</v>
      </c>
      <c r="B44" s="42">
        <v>2001.9313466565795</v>
      </c>
      <c r="C44" s="43">
        <v>4.1656040464434099E+32</v>
      </c>
      <c r="D44" s="43">
        <v>1.5909747630962284E+35</v>
      </c>
      <c r="E44" s="43">
        <v>6.7482785552383247E+35</v>
      </c>
      <c r="F44" s="43">
        <v>13</v>
      </c>
      <c r="G44" s="43">
        <v>9.9999999999999994E-12</v>
      </c>
      <c r="H44" s="71">
        <f t="shared" si="2"/>
        <v>695.2006712907928</v>
      </c>
      <c r="I44" s="44">
        <f t="shared" si="3"/>
        <v>1306.7306753708981</v>
      </c>
      <c r="J44" s="19"/>
      <c r="K44" s="19"/>
      <c r="L44" s="19"/>
      <c r="M44" s="19"/>
      <c r="N44" s="8"/>
    </row>
    <row r="45" spans="1:14">
      <c r="A45" s="41">
        <v>19</v>
      </c>
      <c r="B45" s="42">
        <v>2001.9313466616895</v>
      </c>
      <c r="C45" s="43">
        <v>4.1656040463876755E+32</v>
      </c>
      <c r="D45" s="43">
        <v>1.5909747630962279E+35</v>
      </c>
      <c r="E45" s="43">
        <v>6.7482785551480345E+35</v>
      </c>
      <c r="F45" s="43">
        <v>13</v>
      </c>
      <c r="G45" s="43">
        <v>9.9999999999999994E-12</v>
      </c>
      <c r="H45" s="71">
        <f t="shared" si="2"/>
        <v>736.03600489613336</v>
      </c>
      <c r="I45" s="44">
        <f t="shared" si="3"/>
        <v>1265.8953417655575</v>
      </c>
      <c r="J45" s="19"/>
      <c r="K45" s="19"/>
      <c r="L45" s="19"/>
      <c r="M45" s="19"/>
      <c r="N45" s="8"/>
    </row>
    <row r="46" spans="1:14">
      <c r="A46" s="41">
        <v>20</v>
      </c>
      <c r="B46" s="42">
        <v>2001.9313466616909</v>
      </c>
      <c r="C46" s="43">
        <v>4.1656040463876755E+32</v>
      </c>
      <c r="D46" s="43">
        <v>1.5909747630962336E+35</v>
      </c>
      <c r="E46" s="43">
        <v>6.7482785551480345E+35</v>
      </c>
      <c r="F46" s="43">
        <v>13</v>
      </c>
      <c r="G46" s="43">
        <v>9.9999999999999994E-12</v>
      </c>
      <c r="H46" s="71">
        <f t="shared" si="2"/>
        <v>776.87133850147393</v>
      </c>
      <c r="I46" s="44">
        <f t="shared" si="3"/>
        <v>1225.060008160217</v>
      </c>
      <c r="J46" s="19"/>
      <c r="K46" s="19"/>
      <c r="L46" s="19"/>
      <c r="M46" s="19"/>
      <c r="N46" s="8"/>
    </row>
    <row r="47" spans="1:14">
      <c r="A47" s="41">
        <v>21</v>
      </c>
      <c r="B47" s="42">
        <v>2001.9313466615047</v>
      </c>
      <c r="C47" s="43">
        <v>4.1656040463896881E+32</v>
      </c>
      <c r="D47" s="43">
        <v>1.5909747630962266E+35</v>
      </c>
      <c r="E47" s="43">
        <v>6.7482785551512945E+35</v>
      </c>
      <c r="F47" s="43">
        <v>12</v>
      </c>
      <c r="G47" s="43">
        <v>9.9999999999999994E-12</v>
      </c>
      <c r="H47" s="71">
        <f t="shared" si="2"/>
        <v>817.70667210681449</v>
      </c>
      <c r="I47" s="44">
        <f t="shared" si="3"/>
        <v>1184.2246745548764</v>
      </c>
      <c r="J47" s="19"/>
      <c r="K47" s="19"/>
      <c r="L47" s="19"/>
      <c r="M47" s="19"/>
      <c r="N47" s="8"/>
    </row>
    <row r="48" spans="1:14">
      <c r="A48" s="41">
        <v>22</v>
      </c>
      <c r="B48" s="42">
        <v>2001.9313466616907</v>
      </c>
      <c r="C48" s="43">
        <v>4.1656040463876755E+32</v>
      </c>
      <c r="D48" s="43">
        <v>1.5909747630962327E+35</v>
      </c>
      <c r="E48" s="43">
        <v>6.7482785551480345E+35</v>
      </c>
      <c r="F48" s="43">
        <v>12</v>
      </c>
      <c r="G48" s="43">
        <v>9.9999999999999994E-12</v>
      </c>
      <c r="H48" s="71">
        <f t="shared" si="2"/>
        <v>858.54200571215506</v>
      </c>
      <c r="I48" s="44">
        <f t="shared" si="3"/>
        <v>1143.3893409495358</v>
      </c>
      <c r="J48" s="19"/>
      <c r="K48" s="19"/>
      <c r="L48" s="19"/>
      <c r="M48" s="19"/>
      <c r="N48" s="8"/>
    </row>
    <row r="49" spans="1:14">
      <c r="A49" s="41">
        <v>23</v>
      </c>
      <c r="B49" s="42">
        <v>2001.9313466616907</v>
      </c>
      <c r="C49" s="43">
        <v>4.1656040463876755E+32</v>
      </c>
      <c r="D49" s="43">
        <v>1.5909747630962327E+35</v>
      </c>
      <c r="E49" s="43">
        <v>6.7482785551480345E+35</v>
      </c>
      <c r="F49" s="43">
        <v>12</v>
      </c>
      <c r="G49" s="43">
        <v>9.9999999999999994E-12</v>
      </c>
      <c r="H49" s="71">
        <f t="shared" si="2"/>
        <v>899.37733931749563</v>
      </c>
      <c r="I49" s="44">
        <f t="shared" si="3"/>
        <v>1102.5540073441953</v>
      </c>
      <c r="J49" s="19"/>
      <c r="K49" s="19"/>
      <c r="L49" s="19"/>
      <c r="M49" s="19"/>
      <c r="N49" s="8"/>
    </row>
    <row r="50" spans="1:14">
      <c r="A50" s="41">
        <v>24</v>
      </c>
      <c r="B50" s="42">
        <v>2001.9313466616004</v>
      </c>
      <c r="C50" s="43">
        <v>4.1656040463886224E+32</v>
      </c>
      <c r="D50" s="43">
        <v>1.5909747630962183E+35</v>
      </c>
      <c r="E50" s="43">
        <v>6.7482785551495678E+35</v>
      </c>
      <c r="F50" s="43">
        <v>11</v>
      </c>
      <c r="G50" s="43">
        <v>9.9999999999999994E-12</v>
      </c>
      <c r="H50" s="71">
        <f t="shared" si="2"/>
        <v>940.21267292283619</v>
      </c>
      <c r="I50" s="44">
        <f t="shared" si="3"/>
        <v>1061.7186737388547</v>
      </c>
      <c r="J50" s="19"/>
      <c r="K50" s="19"/>
      <c r="L50" s="19"/>
      <c r="M50" s="19"/>
      <c r="N50" s="8"/>
    </row>
    <row r="51" spans="1:14">
      <c r="A51" s="41">
        <v>25</v>
      </c>
      <c r="B51" s="42">
        <v>2001.9313466616907</v>
      </c>
      <c r="C51" s="43">
        <v>4.1656040463876755E+32</v>
      </c>
      <c r="D51" s="43">
        <v>1.5909747630962327E+35</v>
      </c>
      <c r="E51" s="43">
        <v>6.7482785551480345E+35</v>
      </c>
      <c r="F51" s="43">
        <v>11</v>
      </c>
      <c r="G51" s="43">
        <v>9.9999999999999994E-12</v>
      </c>
      <c r="H51" s="71">
        <f t="shared" si="2"/>
        <v>981.04800652817676</v>
      </c>
      <c r="I51" s="44">
        <f t="shared" si="3"/>
        <v>1020.8833401335141</v>
      </c>
      <c r="J51" s="19"/>
      <c r="K51" s="19"/>
      <c r="L51" s="19"/>
      <c r="M51" s="19"/>
      <c r="N51" s="8"/>
    </row>
    <row r="52" spans="1:14">
      <c r="A52" s="41">
        <v>26</v>
      </c>
      <c r="B52" s="42">
        <v>2001.9313466616907</v>
      </c>
      <c r="C52" s="43">
        <v>4.1656040463876755E+32</v>
      </c>
      <c r="D52" s="43">
        <v>1.5909747630962327E+35</v>
      </c>
      <c r="E52" s="43">
        <v>6.7482785551480345E+35</v>
      </c>
      <c r="F52" s="43">
        <v>11</v>
      </c>
      <c r="G52" s="43">
        <v>9.9999999999999994E-12</v>
      </c>
      <c r="H52" s="71">
        <f t="shared" si="2"/>
        <v>1021.8833401335173</v>
      </c>
      <c r="I52" s="44">
        <f t="shared" si="3"/>
        <v>980.04800652817357</v>
      </c>
      <c r="J52" s="19"/>
      <c r="K52" s="19"/>
      <c r="L52" s="19"/>
      <c r="M52" s="19"/>
      <c r="N52" s="8"/>
    </row>
    <row r="53" spans="1:14">
      <c r="A53" s="41">
        <v>27</v>
      </c>
      <c r="B53" s="42">
        <v>2001.9313466613476</v>
      </c>
      <c r="C53" s="43">
        <v>4.1656040463914052E+32</v>
      </c>
      <c r="D53" s="43">
        <v>1.5909747630962279E+35</v>
      </c>
      <c r="E53" s="43">
        <v>6.7482785551540762E+35</v>
      </c>
      <c r="F53" s="43">
        <v>10</v>
      </c>
      <c r="G53" s="43">
        <v>9.9999999999999994E-12</v>
      </c>
      <c r="H53" s="71">
        <f t="shared" si="2"/>
        <v>1062.7186737388579</v>
      </c>
      <c r="I53" s="44">
        <f t="shared" si="3"/>
        <v>939.21267292283301</v>
      </c>
      <c r="J53" s="19"/>
      <c r="K53" s="19"/>
      <c r="L53" s="19"/>
      <c r="M53" s="19"/>
      <c r="N53" s="8"/>
    </row>
    <row r="54" spans="1:14">
      <c r="A54" s="41">
        <v>28</v>
      </c>
      <c r="B54" s="42">
        <v>2001.9313466616902</v>
      </c>
      <c r="C54" s="43">
        <v>4.1656040463876755E+32</v>
      </c>
      <c r="D54" s="43">
        <v>1.5909747630962308E+35</v>
      </c>
      <c r="E54" s="43">
        <v>6.7482785551480345E+35</v>
      </c>
      <c r="F54" s="43">
        <v>10</v>
      </c>
      <c r="G54" s="43">
        <v>9.9999999999999994E-12</v>
      </c>
      <c r="H54" s="71">
        <f t="shared" si="2"/>
        <v>1103.5540073441985</v>
      </c>
      <c r="I54" s="44">
        <f t="shared" si="3"/>
        <v>898.37733931749244</v>
      </c>
      <c r="J54" s="19"/>
      <c r="K54" s="19"/>
      <c r="L54" s="19"/>
      <c r="M54" s="19"/>
      <c r="N54" s="8"/>
    </row>
    <row r="55" spans="1:14" ht="12.75" customHeight="1">
      <c r="A55" s="41">
        <v>29</v>
      </c>
      <c r="B55" s="42">
        <v>2001.9313466616907</v>
      </c>
      <c r="C55" s="43">
        <v>4.1656040463876755E+32</v>
      </c>
      <c r="D55" s="43">
        <v>1.5909747630962327E+35</v>
      </c>
      <c r="E55" s="43">
        <v>6.7482785551480345E+35</v>
      </c>
      <c r="F55" s="43">
        <v>10</v>
      </c>
      <c r="G55" s="43">
        <v>9.9999999999999994E-12</v>
      </c>
      <c r="H55" s="71">
        <f t="shared" si="2"/>
        <v>1144.389340949539</v>
      </c>
      <c r="I55" s="44">
        <f t="shared" si="3"/>
        <v>857.54200571215188</v>
      </c>
      <c r="J55" s="19"/>
      <c r="K55" s="19"/>
      <c r="L55" s="19"/>
      <c r="M55" s="19"/>
      <c r="N55" s="8"/>
    </row>
    <row r="56" spans="1:14" ht="12.75" customHeight="1">
      <c r="A56" s="41">
        <v>30</v>
      </c>
      <c r="B56" s="42">
        <v>2001.9313466569158</v>
      </c>
      <c r="C56" s="43">
        <v>4.1656040464397097E+32</v>
      </c>
      <c r="D56" s="43">
        <v>1.5909747630962161E+35</v>
      </c>
      <c r="E56" s="43">
        <v>6.7482785552323303E+35</v>
      </c>
      <c r="F56" s="43">
        <v>9</v>
      </c>
      <c r="G56" s="43">
        <v>9.9999999999999994E-12</v>
      </c>
      <c r="H56" s="71">
        <f t="shared" si="2"/>
        <v>1185.2246745548796</v>
      </c>
      <c r="I56" s="44">
        <f t="shared" si="3"/>
        <v>816.70667210681131</v>
      </c>
      <c r="J56" s="19"/>
      <c r="K56" s="19"/>
      <c r="L56" s="19"/>
      <c r="M56" s="19"/>
      <c r="N56" s="8"/>
    </row>
    <row r="57" spans="1:14" ht="12.75" customHeight="1">
      <c r="A57" s="41">
        <v>31</v>
      </c>
      <c r="B57" s="42">
        <v>2001.9313466616641</v>
      </c>
      <c r="C57" s="43">
        <v>4.1656040463879421E+32</v>
      </c>
      <c r="D57" s="43">
        <v>1.5909747630962236E+35</v>
      </c>
      <c r="E57" s="43">
        <v>6.7482785551484669E+35</v>
      </c>
      <c r="F57" s="43">
        <v>9</v>
      </c>
      <c r="G57" s="43">
        <v>9.9999999999999994E-12</v>
      </c>
      <c r="H57" s="71">
        <f t="shared" si="2"/>
        <v>1226.0600081602201</v>
      </c>
      <c r="I57" s="44">
        <f t="shared" si="3"/>
        <v>775.87133850147075</v>
      </c>
      <c r="J57" s="19"/>
      <c r="K57" s="19"/>
      <c r="L57" s="19"/>
      <c r="M57" s="19"/>
      <c r="N57" s="8"/>
    </row>
    <row r="58" spans="1:14" ht="12.75" customHeight="1">
      <c r="A58" s="41">
        <v>32</v>
      </c>
      <c r="B58" s="42">
        <v>2001.9313466616911</v>
      </c>
      <c r="C58" s="43">
        <v>4.1656040463876755E+32</v>
      </c>
      <c r="D58" s="43">
        <v>1.5909747630962345E+35</v>
      </c>
      <c r="E58" s="43">
        <v>6.7482785551480345E+35</v>
      </c>
      <c r="F58" s="43">
        <v>9</v>
      </c>
      <c r="G58" s="43">
        <v>9.9999999999999994E-12</v>
      </c>
      <c r="H58" s="71">
        <f t="shared" si="2"/>
        <v>1266.8953417655607</v>
      </c>
      <c r="I58" s="44">
        <f t="shared" si="3"/>
        <v>735.03600489613018</v>
      </c>
      <c r="J58" s="19"/>
      <c r="K58" s="19"/>
      <c r="L58" s="19"/>
      <c r="M58" s="19"/>
      <c r="N58" s="8"/>
    </row>
    <row r="59" spans="1:14" ht="12.75" customHeight="1">
      <c r="A59" s="41">
        <v>33</v>
      </c>
      <c r="B59" s="42">
        <v>2001.9313466616909</v>
      </c>
      <c r="C59" s="43">
        <v>4.1656040463876755E+32</v>
      </c>
      <c r="D59" s="43">
        <v>1.5909747630962336E+35</v>
      </c>
      <c r="E59" s="43">
        <v>6.7482785551480345E+35</v>
      </c>
      <c r="F59" s="43">
        <v>9</v>
      </c>
      <c r="G59" s="43">
        <v>9.9999999999999994E-12</v>
      </c>
      <c r="H59" s="71">
        <f t="shared" si="2"/>
        <v>1307.7306753709013</v>
      </c>
      <c r="I59" s="44">
        <f t="shared" si="3"/>
        <v>694.20067129078961</v>
      </c>
      <c r="J59" s="19"/>
      <c r="K59" s="19"/>
      <c r="L59" s="19"/>
      <c r="M59" s="19"/>
      <c r="N59" s="8"/>
    </row>
    <row r="60" spans="1:14" ht="12.75" customHeight="1">
      <c r="A60" s="41">
        <v>34</v>
      </c>
      <c r="B60" s="42">
        <v>2001.9313466599815</v>
      </c>
      <c r="C60" s="43">
        <v>4.165604046406293E+32</v>
      </c>
      <c r="D60" s="43">
        <v>1.5909747630962236E+35</v>
      </c>
      <c r="E60" s="43">
        <v>6.7482785551781942E+35</v>
      </c>
      <c r="F60" s="43">
        <v>8</v>
      </c>
      <c r="G60" s="43">
        <v>9.9999999999999994E-12</v>
      </c>
      <c r="H60" s="71">
        <f t="shared" si="2"/>
        <v>1348.5660089762418</v>
      </c>
      <c r="I60" s="44">
        <f t="shared" si="3"/>
        <v>653.36533768544905</v>
      </c>
      <c r="J60" s="19"/>
      <c r="K60" s="19"/>
      <c r="L60" s="19"/>
      <c r="M60" s="19"/>
      <c r="N60" s="8"/>
    </row>
    <row r="61" spans="1:14" ht="12.75" customHeight="1">
      <c r="A61" s="41">
        <v>35</v>
      </c>
      <c r="B61" s="42">
        <v>2001.9313466616793</v>
      </c>
      <c r="C61" s="43">
        <v>4.1656040463877937E+32</v>
      </c>
      <c r="D61" s="43">
        <v>1.5909747630962304E+35</v>
      </c>
      <c r="E61" s="43">
        <v>6.7482785551482264E+35</v>
      </c>
      <c r="F61" s="43">
        <v>8</v>
      </c>
      <c r="G61" s="43">
        <v>9.9999999999999994E-12</v>
      </c>
      <c r="H61" s="71">
        <f t="shared" si="2"/>
        <v>1389.4013425815824</v>
      </c>
      <c r="I61" s="44">
        <f t="shared" si="3"/>
        <v>612.53000408010848</v>
      </c>
      <c r="J61" s="19"/>
      <c r="K61" s="19"/>
      <c r="L61" s="19"/>
      <c r="M61" s="19"/>
      <c r="N61" s="8"/>
    </row>
    <row r="62" spans="1:14" ht="12.75" customHeight="1">
      <c r="A62" s="41">
        <v>36</v>
      </c>
      <c r="B62" s="42">
        <v>2001.9313466616911</v>
      </c>
      <c r="C62" s="43">
        <v>4.1656040463876755E+32</v>
      </c>
      <c r="D62" s="43">
        <v>1.5909747630962345E+35</v>
      </c>
      <c r="E62" s="43">
        <v>6.7482785551480345E+35</v>
      </c>
      <c r="F62" s="43">
        <v>8</v>
      </c>
      <c r="G62" s="43">
        <v>9.9999999999999994E-12</v>
      </c>
      <c r="H62" s="71">
        <f t="shared" si="2"/>
        <v>1430.236676186923</v>
      </c>
      <c r="I62" s="44">
        <f t="shared" si="3"/>
        <v>571.69467047476792</v>
      </c>
      <c r="J62" s="19"/>
      <c r="K62" s="19"/>
      <c r="L62" s="19"/>
      <c r="M62" s="19"/>
      <c r="N62" s="8"/>
    </row>
    <row r="63" spans="1:14" ht="12.75" customHeight="1">
      <c r="A63" s="41">
        <v>37</v>
      </c>
      <c r="B63" s="42">
        <v>2001.9313466616909</v>
      </c>
      <c r="C63" s="43">
        <v>4.1656040463876755E+32</v>
      </c>
      <c r="D63" s="43">
        <v>1.5909747630962336E+35</v>
      </c>
      <c r="E63" s="43">
        <v>6.7482785551480345E+35</v>
      </c>
      <c r="F63" s="43">
        <v>8</v>
      </c>
      <c r="G63" s="43">
        <v>9.9999999999999994E-12</v>
      </c>
      <c r="H63" s="71">
        <f t="shared" si="2"/>
        <v>1471.0720097922635</v>
      </c>
      <c r="I63" s="44">
        <f t="shared" si="3"/>
        <v>530.85933686942735</v>
      </c>
      <c r="J63" s="19"/>
      <c r="K63" s="19"/>
      <c r="L63" s="19"/>
      <c r="M63" s="19"/>
      <c r="N63" s="8"/>
    </row>
    <row r="64" spans="1:14" ht="12.75" customHeight="1">
      <c r="A64" s="41">
        <v>38</v>
      </c>
      <c r="B64" s="42">
        <v>2001.9313466601545</v>
      </c>
      <c r="C64" s="43">
        <v>4.1656040464044282E+32</v>
      </c>
      <c r="D64" s="43">
        <v>1.5909747630962321E+35</v>
      </c>
      <c r="E64" s="43">
        <v>6.7482785551751734E+35</v>
      </c>
      <c r="F64" s="43">
        <v>7</v>
      </c>
      <c r="G64" s="43">
        <v>9.9999999999999994E-12</v>
      </c>
      <c r="H64" s="71">
        <f t="shared" si="2"/>
        <v>1511.9073433976041</v>
      </c>
      <c r="I64" s="44">
        <f t="shared" si="3"/>
        <v>490.02400326408679</v>
      </c>
      <c r="J64" s="19"/>
      <c r="K64" s="19"/>
      <c r="L64" s="19"/>
      <c r="M64" s="19"/>
      <c r="N64" s="8"/>
    </row>
    <row r="65" spans="1:14" ht="12.75" customHeight="1">
      <c r="A65" s="41">
        <v>39</v>
      </c>
      <c r="B65" s="42">
        <v>2001.93134666168</v>
      </c>
      <c r="C65" s="43">
        <v>4.1656040463877937E+32</v>
      </c>
      <c r="D65" s="43">
        <v>1.5909747630962332E+35</v>
      </c>
      <c r="E65" s="43">
        <v>6.7482785551482264E+35</v>
      </c>
      <c r="F65" s="43">
        <v>7</v>
      </c>
      <c r="G65" s="43">
        <v>9.9999999999999994E-12</v>
      </c>
      <c r="H65" s="71">
        <f t="shared" si="2"/>
        <v>1552.7426770029447</v>
      </c>
      <c r="I65" s="44">
        <f t="shared" si="3"/>
        <v>449.18866965874622</v>
      </c>
      <c r="J65" s="19"/>
      <c r="K65" s="19"/>
      <c r="L65" s="19"/>
      <c r="M65" s="19"/>
      <c r="N65" s="8"/>
    </row>
    <row r="66" spans="1:14" ht="13.5" customHeight="1">
      <c r="A66" s="41">
        <v>40</v>
      </c>
      <c r="B66" s="42">
        <v>2001.9313466616909</v>
      </c>
      <c r="C66" s="43">
        <v>4.1656040463876755E+32</v>
      </c>
      <c r="D66" s="43">
        <v>1.5909747630962336E+35</v>
      </c>
      <c r="E66" s="43">
        <v>6.7482785551480345E+35</v>
      </c>
      <c r="F66" s="43">
        <v>7</v>
      </c>
      <c r="G66" s="43">
        <v>9.9999999999999994E-12</v>
      </c>
      <c r="H66" s="71">
        <f t="shared" si="2"/>
        <v>1593.5780106082852</v>
      </c>
      <c r="I66" s="44">
        <f t="shared" si="3"/>
        <v>408.35333605340566</v>
      </c>
      <c r="J66" s="19"/>
      <c r="K66" s="19"/>
      <c r="L66" s="19"/>
      <c r="M66" s="19"/>
      <c r="N66" s="8"/>
    </row>
    <row r="67" spans="1:14">
      <c r="A67" s="41">
        <v>41</v>
      </c>
      <c r="B67" s="42">
        <v>2001.9313466616907</v>
      </c>
      <c r="C67" s="43">
        <v>4.1656040463876755E+32</v>
      </c>
      <c r="D67" s="43">
        <v>1.5909747630962327E+35</v>
      </c>
      <c r="E67" s="43">
        <v>6.7482785551480345E+35</v>
      </c>
      <c r="F67" s="43">
        <v>7</v>
      </c>
      <c r="G67" s="43">
        <v>9.9999999999999994E-12</v>
      </c>
      <c r="H67" s="71">
        <f t="shared" si="2"/>
        <v>1634.4133442136258</v>
      </c>
      <c r="I67" s="44">
        <f t="shared" si="3"/>
        <v>367.51800244806509</v>
      </c>
      <c r="J67" s="19"/>
      <c r="K67" s="19"/>
      <c r="L67" s="19"/>
      <c r="M67" s="19"/>
      <c r="N67" s="8"/>
    </row>
    <row r="68" spans="1:14">
      <c r="A68" s="41">
        <v>42</v>
      </c>
      <c r="B68" s="42">
        <v>2001.9313466603585</v>
      </c>
      <c r="C68" s="43">
        <v>4.1656040464021793E+32</v>
      </c>
      <c r="D68" s="43">
        <v>1.5909747630962227E+35</v>
      </c>
      <c r="E68" s="43">
        <v>6.7482785551715298E+35</v>
      </c>
      <c r="F68" s="43">
        <v>6</v>
      </c>
      <c r="G68" s="43">
        <v>9.9999999999999994E-12</v>
      </c>
      <c r="H68" s="71">
        <f t="shared" si="2"/>
        <v>1675.2486778189664</v>
      </c>
      <c r="I68" s="44">
        <f t="shared" si="3"/>
        <v>326.68266884272452</v>
      </c>
      <c r="J68" s="19"/>
      <c r="K68" s="19"/>
      <c r="L68" s="19"/>
      <c r="M68" s="19"/>
      <c r="N68" s="8"/>
    </row>
    <row r="69" spans="1:14">
      <c r="A69" s="41">
        <v>43</v>
      </c>
      <c r="B69" s="42">
        <v>2001.9313466616841</v>
      </c>
      <c r="C69" s="43">
        <v>4.1656040463877051E+32</v>
      </c>
      <c r="D69" s="43">
        <v>1.5909747630962164E+35</v>
      </c>
      <c r="E69" s="43">
        <v>6.7482785551480818E+35</v>
      </c>
      <c r="F69" s="43">
        <v>6</v>
      </c>
      <c r="G69" s="43">
        <v>9.9999999999999994E-12</v>
      </c>
      <c r="H69" s="71">
        <f t="shared" si="2"/>
        <v>1716.0840114243069</v>
      </c>
      <c r="I69" s="44">
        <f t="shared" si="3"/>
        <v>285.84733523738396</v>
      </c>
      <c r="J69" s="19"/>
      <c r="K69" s="19"/>
      <c r="L69" s="19"/>
      <c r="M69" s="19"/>
      <c r="N69" s="8"/>
    </row>
    <row r="70" spans="1:14">
      <c r="A70" s="41">
        <v>44</v>
      </c>
      <c r="B70" s="42">
        <v>2001.9313466616911</v>
      </c>
      <c r="C70" s="43">
        <v>4.1656040463876755E+32</v>
      </c>
      <c r="D70" s="43">
        <v>1.5909747630962345E+35</v>
      </c>
      <c r="E70" s="43">
        <v>6.7482785551480345E+35</v>
      </c>
      <c r="F70" s="43">
        <v>6</v>
      </c>
      <c r="G70" s="43">
        <v>9.9999999999999994E-12</v>
      </c>
      <c r="H70" s="71">
        <f t="shared" si="2"/>
        <v>1756.9193450296475</v>
      </c>
      <c r="I70" s="44">
        <f t="shared" si="3"/>
        <v>245.01200163204339</v>
      </c>
      <c r="J70" s="19"/>
      <c r="K70" s="19"/>
      <c r="L70" s="19"/>
      <c r="M70" s="19"/>
      <c r="N70" s="8"/>
    </row>
    <row r="71" spans="1:14">
      <c r="A71" s="41">
        <v>45</v>
      </c>
      <c r="B71" s="42">
        <v>2001.9313466616907</v>
      </c>
      <c r="C71" s="43">
        <v>4.1656040463876755E+32</v>
      </c>
      <c r="D71" s="43">
        <v>1.5909747630962327E+35</v>
      </c>
      <c r="E71" s="43">
        <v>6.7482785551480345E+35</v>
      </c>
      <c r="F71" s="43">
        <v>6</v>
      </c>
      <c r="G71" s="43">
        <v>9.9999999999999994E-12</v>
      </c>
      <c r="H71" s="71">
        <f t="shared" si="2"/>
        <v>1797.7546786349881</v>
      </c>
      <c r="I71" s="44">
        <f t="shared" si="3"/>
        <v>204.17666802670283</v>
      </c>
      <c r="J71" s="19"/>
      <c r="K71" s="19"/>
      <c r="L71" s="19"/>
      <c r="M71" s="19"/>
      <c r="N71" s="8"/>
    </row>
    <row r="72" spans="1:14">
      <c r="A72" s="41">
        <v>46</v>
      </c>
      <c r="B72" s="42">
        <v>2001.9313466615592</v>
      </c>
      <c r="C72" s="43">
        <v>4.1656040463890965E+32</v>
      </c>
      <c r="D72" s="43">
        <v>1.5909747630962279E+35</v>
      </c>
      <c r="E72" s="43">
        <v>6.7482785551503367E+35</v>
      </c>
      <c r="F72" s="43">
        <v>5</v>
      </c>
      <c r="G72" s="43">
        <v>9.9999999999999994E-12</v>
      </c>
      <c r="H72" s="71">
        <f t="shared" si="2"/>
        <v>1838.5900122403286</v>
      </c>
      <c r="I72" s="44">
        <f t="shared" si="3"/>
        <v>163.34133442136226</v>
      </c>
      <c r="J72" s="19"/>
      <c r="K72" s="19"/>
      <c r="L72" s="19"/>
      <c r="M72" s="19"/>
      <c r="N72" s="8"/>
    </row>
    <row r="73" spans="1:14">
      <c r="A73" s="41">
        <v>47</v>
      </c>
      <c r="B73" s="42">
        <v>2001.9313466616907</v>
      </c>
      <c r="C73" s="43">
        <v>4.1656040463876755E+32</v>
      </c>
      <c r="D73" s="43">
        <v>1.5909747630962327E+35</v>
      </c>
      <c r="E73" s="43">
        <v>6.7482785551480345E+35</v>
      </c>
      <c r="F73" s="43">
        <v>5</v>
      </c>
      <c r="G73" s="43">
        <v>9.9999999999999994E-12</v>
      </c>
      <c r="H73" s="71">
        <f t="shared" si="2"/>
        <v>1879.4253458456692</v>
      </c>
      <c r="I73" s="44">
        <f t="shared" si="3"/>
        <v>122.5060008160217</v>
      </c>
      <c r="J73" s="19"/>
      <c r="K73" s="19"/>
      <c r="L73" s="19"/>
      <c r="M73" s="19"/>
      <c r="N73" s="8"/>
    </row>
    <row r="74" spans="1:14">
      <c r="A74" s="41">
        <v>48</v>
      </c>
      <c r="B74" s="42">
        <v>2001.9313466616909</v>
      </c>
      <c r="C74" s="43">
        <v>4.1656040463876755E+32</v>
      </c>
      <c r="D74" s="43">
        <v>1.5909747630962336E+35</v>
      </c>
      <c r="E74" s="43">
        <v>6.7482785551480345E+35</v>
      </c>
      <c r="F74" s="43">
        <v>5</v>
      </c>
      <c r="G74" s="43">
        <v>9.9999999999999994E-12</v>
      </c>
      <c r="H74" s="71">
        <f t="shared" si="2"/>
        <v>1920.2606794510098</v>
      </c>
      <c r="I74" s="44">
        <f t="shared" si="3"/>
        <v>81.670667210681131</v>
      </c>
      <c r="J74" s="19"/>
      <c r="K74" s="19"/>
      <c r="L74" s="19"/>
      <c r="M74" s="19"/>
      <c r="N74" s="8"/>
    </row>
    <row r="75" spans="1:14">
      <c r="A75" s="41">
        <v>49</v>
      </c>
      <c r="B75" s="42">
        <v>2001.9313466616902</v>
      </c>
      <c r="C75" s="43">
        <v>4.1656040463876755E+32</v>
      </c>
      <c r="D75" s="43">
        <v>1.5909747630962308E+35</v>
      </c>
      <c r="E75" s="43">
        <v>6.7482785551480345E+35</v>
      </c>
      <c r="F75" s="43">
        <v>4</v>
      </c>
      <c r="G75" s="43">
        <v>9.9999999999999994E-12</v>
      </c>
      <c r="H75" s="71">
        <f t="shared" si="2"/>
        <v>1961.0960130563503</v>
      </c>
      <c r="I75" s="44">
        <f t="shared" si="3"/>
        <v>40.835333605340566</v>
      </c>
      <c r="J75" s="19"/>
      <c r="K75" s="19"/>
      <c r="L75" s="19"/>
      <c r="M75" s="19"/>
      <c r="N75" s="8"/>
    </row>
    <row r="76" spans="1:14">
      <c r="A76" s="41">
        <v>50</v>
      </c>
      <c r="B76" s="42">
        <v>2001.9313466616909</v>
      </c>
      <c r="C76" s="43">
        <v>4.1656040463876755E+32</v>
      </c>
      <c r="D76" s="43">
        <v>1.5909747630962336E+35</v>
      </c>
      <c r="E76" s="43">
        <v>6.7482785551480345E+35</v>
      </c>
      <c r="F76" s="43">
        <v>0</v>
      </c>
      <c r="G76" s="43">
        <v>9.9999999999999994E-12</v>
      </c>
      <c r="H76" s="79">
        <f>sheet1!I5</f>
        <v>2001.9313466616909</v>
      </c>
      <c r="I76" s="44">
        <f t="shared" si="3"/>
        <v>0</v>
      </c>
      <c r="J76" s="19"/>
      <c r="K76" s="19"/>
      <c r="L76" s="19"/>
      <c r="M76" s="19"/>
      <c r="N76" s="8"/>
    </row>
    <row r="77" spans="1:14">
      <c r="A77" s="41">
        <v>51</v>
      </c>
      <c r="B77" s="42">
        <v>2001.9313466616873</v>
      </c>
      <c r="C77" s="43">
        <v>4.1656040463877051E+32</v>
      </c>
      <c r="D77" s="43">
        <v>1.5909747630962297E+35</v>
      </c>
      <c r="E77" s="43">
        <v>6.7482785551480818E+35</v>
      </c>
      <c r="F77" s="43">
        <v>4</v>
      </c>
      <c r="G77" s="43">
        <v>9.9999999999999994E-12</v>
      </c>
      <c r="H77" s="71">
        <f t="shared" ref="H77:H126" si="4">H76+$H$25</f>
        <v>2042.7666802670315</v>
      </c>
      <c r="I77" s="44">
        <f t="shared" si="3"/>
        <v>40.835333605340566</v>
      </c>
      <c r="J77" s="19"/>
      <c r="K77" s="19"/>
      <c r="L77" s="19"/>
      <c r="M77" s="19"/>
      <c r="N77" s="8"/>
    </row>
    <row r="78" spans="1:14">
      <c r="A78" s="41">
        <v>52</v>
      </c>
      <c r="B78" s="42">
        <v>2001.9313466616911</v>
      </c>
      <c r="C78" s="43">
        <v>4.1656040463876755E+32</v>
      </c>
      <c r="D78" s="43">
        <v>1.5909747630962345E+35</v>
      </c>
      <c r="E78" s="43">
        <v>6.7482785551480345E+35</v>
      </c>
      <c r="F78" s="43">
        <v>5</v>
      </c>
      <c r="G78" s="43">
        <v>9.9999999999999994E-12</v>
      </c>
      <c r="H78" s="71">
        <f t="shared" si="4"/>
        <v>2083.602013872372</v>
      </c>
      <c r="I78" s="44">
        <f t="shared" si="3"/>
        <v>81.670667210681131</v>
      </c>
      <c r="J78" s="19"/>
      <c r="K78" s="19"/>
      <c r="L78" s="19"/>
      <c r="M78" s="19"/>
      <c r="N78" s="8"/>
    </row>
    <row r="79" spans="1:14">
      <c r="A79" s="41">
        <v>53</v>
      </c>
      <c r="B79" s="42">
        <v>2001.9313466601614</v>
      </c>
      <c r="C79" s="43">
        <v>4.1656040464043396E+32</v>
      </c>
      <c r="D79" s="43">
        <v>1.5909747630962268E+35</v>
      </c>
      <c r="E79" s="43">
        <v>6.7482785551750303E+35</v>
      </c>
      <c r="F79" s="43">
        <v>5</v>
      </c>
      <c r="G79" s="43">
        <v>9.9999999999999994E-12</v>
      </c>
      <c r="H79" s="71">
        <f t="shared" si="4"/>
        <v>2124.4373474777126</v>
      </c>
      <c r="I79" s="44">
        <f t="shared" si="3"/>
        <v>122.5060008160217</v>
      </c>
      <c r="J79" s="19"/>
      <c r="K79" s="19"/>
      <c r="L79" s="19"/>
      <c r="M79" s="19"/>
      <c r="N79" s="8"/>
    </row>
    <row r="80" spans="1:14">
      <c r="A80" s="41">
        <v>54</v>
      </c>
      <c r="B80" s="42">
        <v>2001.9313466616843</v>
      </c>
      <c r="C80" s="43">
        <v>4.1656040463877051E+32</v>
      </c>
      <c r="D80" s="43">
        <v>1.5909747630962174E+35</v>
      </c>
      <c r="E80" s="43">
        <v>6.7482785551480818E+35</v>
      </c>
      <c r="F80" s="43">
        <v>6</v>
      </c>
      <c r="G80" s="43">
        <v>9.9999999999999994E-12</v>
      </c>
      <c r="H80" s="71">
        <f t="shared" si="4"/>
        <v>2165.2726810830532</v>
      </c>
      <c r="I80" s="44">
        <f t="shared" si="3"/>
        <v>163.34133442136226</v>
      </c>
      <c r="J80" s="19"/>
      <c r="K80" s="19"/>
      <c r="L80" s="19"/>
      <c r="M80" s="19"/>
      <c r="N80" s="8"/>
    </row>
    <row r="81" spans="1:16">
      <c r="A81" s="41">
        <v>55</v>
      </c>
      <c r="B81" s="42">
        <v>2001.9313466616884</v>
      </c>
      <c r="C81" s="43">
        <v>4.1656040463876755E+32</v>
      </c>
      <c r="D81" s="43">
        <v>1.5909747630962233E+35</v>
      </c>
      <c r="E81" s="43">
        <v>6.7482785551480345E+35</v>
      </c>
      <c r="F81" s="43">
        <v>7</v>
      </c>
      <c r="G81" s="43">
        <v>9.9999999999999994E-12</v>
      </c>
      <c r="H81" s="71">
        <f t="shared" si="4"/>
        <v>2206.1080146883937</v>
      </c>
      <c r="I81" s="44">
        <f t="shared" si="3"/>
        <v>204.17666802670283</v>
      </c>
      <c r="J81" s="19"/>
      <c r="K81" s="19"/>
      <c r="L81" s="19"/>
      <c r="M81" s="19"/>
      <c r="N81" s="8"/>
    </row>
    <row r="82" spans="1:16" ht="13.15" thickBot="1">
      <c r="A82" s="41">
        <v>56</v>
      </c>
      <c r="B82" s="42">
        <v>2001.9313466616907</v>
      </c>
      <c r="C82" s="43">
        <v>4.1656040463876755E+32</v>
      </c>
      <c r="D82" s="43">
        <v>1.5909747630962327E+35</v>
      </c>
      <c r="E82" s="43">
        <v>6.7482785551480345E+35</v>
      </c>
      <c r="F82" s="43">
        <v>9</v>
      </c>
      <c r="G82" s="43">
        <v>9.9999999999999994E-12</v>
      </c>
      <c r="H82" s="71">
        <f t="shared" si="4"/>
        <v>2246.9433482937343</v>
      </c>
      <c r="I82" s="44">
        <f t="shared" si="3"/>
        <v>245.01200163204339</v>
      </c>
      <c r="J82" s="19"/>
      <c r="K82" s="19"/>
      <c r="L82" s="19"/>
      <c r="M82" s="19"/>
      <c r="N82" s="8"/>
    </row>
    <row r="83" spans="1:16" ht="12.75" customHeight="1">
      <c r="A83" s="41">
        <v>57</v>
      </c>
      <c r="B83" s="42">
        <v>2001.9313466616911</v>
      </c>
      <c r="C83" s="43">
        <v>4.1656040463876755E+32</v>
      </c>
      <c r="D83" s="43">
        <v>1.5909747630962345E+35</v>
      </c>
      <c r="E83" s="43">
        <v>6.7482785551480345E+35</v>
      </c>
      <c r="F83" s="43">
        <v>12</v>
      </c>
      <c r="G83" s="43">
        <v>9.9999999999999994E-12</v>
      </c>
      <c r="H83" s="71">
        <f t="shared" si="4"/>
        <v>2287.7786818990749</v>
      </c>
      <c r="I83" s="44">
        <f t="shared" si="3"/>
        <v>285.84733523738396</v>
      </c>
      <c r="J83" s="19"/>
      <c r="P83" s="132"/>
    </row>
    <row r="84" spans="1:16" ht="12.75" customHeight="1">
      <c r="A84" s="41">
        <v>58</v>
      </c>
      <c r="B84" s="42">
        <v>2001.9313466612145</v>
      </c>
      <c r="C84" s="43">
        <v>4.1656040463928557E+32</v>
      </c>
      <c r="D84" s="43">
        <v>1.5909747630962279E+35</v>
      </c>
      <c r="E84" s="43">
        <v>6.7482785551564256E+35</v>
      </c>
      <c r="F84" s="43">
        <v>229</v>
      </c>
      <c r="G84" s="43">
        <v>9.9999999999999994E-12</v>
      </c>
      <c r="H84" s="71">
        <f t="shared" si="4"/>
        <v>2328.6140155044154</v>
      </c>
      <c r="I84" s="44">
        <f t="shared" si="3"/>
        <v>326.68266884272452</v>
      </c>
      <c r="J84" s="19"/>
      <c r="P84" s="133"/>
    </row>
    <row r="85" spans="1:16" ht="13.25" customHeight="1" thickBot="1">
      <c r="A85" s="140">
        <v>59</v>
      </c>
      <c r="B85" s="46">
        <v>2001.9313466612145</v>
      </c>
      <c r="C85" s="47">
        <v>4.1656040463928557E+32</v>
      </c>
      <c r="D85" s="47">
        <v>1.5909747630962279E+35</v>
      </c>
      <c r="E85" s="47">
        <v>6.7482785551564256E+35</v>
      </c>
      <c r="F85" s="47">
        <v>229</v>
      </c>
      <c r="G85" s="134">
        <v>9.9999999999999994E-12</v>
      </c>
      <c r="H85" s="135">
        <f t="shared" si="4"/>
        <v>2369.449349109756</v>
      </c>
      <c r="I85" s="136">
        <f t="shared" si="3"/>
        <v>367.51800244806509</v>
      </c>
      <c r="J85" s="19"/>
      <c r="P85" s="133"/>
    </row>
    <row r="86" spans="1:16" ht="13.25" customHeight="1">
      <c r="A86" s="137">
        <v>60</v>
      </c>
      <c r="B86" s="164" t="s">
        <v>90</v>
      </c>
      <c r="C86" s="164"/>
      <c r="D86" s="164"/>
      <c r="E86" s="164"/>
      <c r="F86" s="164"/>
      <c r="G86" s="151">
        <v>9.9999999999999994E-12</v>
      </c>
      <c r="H86" s="152">
        <f t="shared" si="4"/>
        <v>2410.2846827150966</v>
      </c>
      <c r="I86" s="153">
        <f t="shared" si="3"/>
        <v>408.35333605340566</v>
      </c>
      <c r="J86" s="19"/>
      <c r="P86" s="133"/>
    </row>
    <row r="87" spans="1:16" ht="13.25" customHeight="1">
      <c r="A87" s="139">
        <v>61</v>
      </c>
      <c r="B87" s="165"/>
      <c r="C87" s="165"/>
      <c r="D87" s="165"/>
      <c r="E87" s="165"/>
      <c r="F87" s="165"/>
      <c r="G87" s="154">
        <v>9.9999999999999994E-12</v>
      </c>
      <c r="H87" s="150">
        <f t="shared" si="4"/>
        <v>2451.1200163204371</v>
      </c>
      <c r="I87" s="155">
        <f t="shared" si="3"/>
        <v>449.18866965874622</v>
      </c>
      <c r="J87" s="19"/>
      <c r="P87" s="133"/>
    </row>
    <row r="88" spans="1:16" ht="13.25" customHeight="1">
      <c r="A88" s="139">
        <v>62</v>
      </c>
      <c r="B88" s="165"/>
      <c r="C88" s="165"/>
      <c r="D88" s="165"/>
      <c r="E88" s="165"/>
      <c r="F88" s="165"/>
      <c r="G88" s="154">
        <v>9.9999999999999994E-12</v>
      </c>
      <c r="H88" s="150">
        <f t="shared" si="4"/>
        <v>2491.9553499257777</v>
      </c>
      <c r="I88" s="155">
        <f t="shared" si="3"/>
        <v>490.02400326408679</v>
      </c>
      <c r="J88" s="19"/>
      <c r="P88" s="133"/>
    </row>
    <row r="89" spans="1:16" ht="13.25" customHeight="1">
      <c r="A89" s="139">
        <v>63</v>
      </c>
      <c r="B89" s="165"/>
      <c r="C89" s="165"/>
      <c r="D89" s="165"/>
      <c r="E89" s="165"/>
      <c r="F89" s="165"/>
      <c r="G89" s="154">
        <v>9.9999999999999994E-12</v>
      </c>
      <c r="H89" s="150">
        <f t="shared" si="4"/>
        <v>2532.7906835311182</v>
      </c>
      <c r="I89" s="155">
        <f t="shared" si="3"/>
        <v>530.85933686942735</v>
      </c>
      <c r="J89" s="19"/>
      <c r="P89" s="133"/>
    </row>
    <row r="90" spans="1:16" ht="13.25" customHeight="1">
      <c r="A90" s="139">
        <v>64</v>
      </c>
      <c r="B90" s="165"/>
      <c r="C90" s="165"/>
      <c r="D90" s="165"/>
      <c r="E90" s="165"/>
      <c r="F90" s="165"/>
      <c r="G90" s="154">
        <v>9.9999999999999994E-12</v>
      </c>
      <c r="H90" s="150">
        <f t="shared" si="4"/>
        <v>2573.6260171364588</v>
      </c>
      <c r="I90" s="155">
        <f t="shared" si="3"/>
        <v>571.69467047476792</v>
      </c>
      <c r="J90" s="19"/>
      <c r="P90" s="133"/>
    </row>
    <row r="91" spans="1:16" ht="13.25" customHeight="1">
      <c r="A91" s="139">
        <v>65</v>
      </c>
      <c r="B91" s="165"/>
      <c r="C91" s="165"/>
      <c r="D91" s="165"/>
      <c r="E91" s="165"/>
      <c r="F91" s="165"/>
      <c r="G91" s="154">
        <v>9.9999999999999994E-12</v>
      </c>
      <c r="H91" s="150">
        <f t="shared" si="4"/>
        <v>2614.4613507417994</v>
      </c>
      <c r="I91" s="155">
        <f t="shared" si="3"/>
        <v>612.53000408010848</v>
      </c>
      <c r="J91" s="19"/>
      <c r="P91" s="133"/>
    </row>
    <row r="92" spans="1:16" ht="13.25" customHeight="1">
      <c r="A92" s="139">
        <v>66</v>
      </c>
      <c r="B92" s="165"/>
      <c r="C92" s="165"/>
      <c r="D92" s="165"/>
      <c r="E92" s="165"/>
      <c r="F92" s="165"/>
      <c r="G92" s="154">
        <v>9.9999999999999994E-12</v>
      </c>
      <c r="H92" s="150">
        <f t="shared" si="4"/>
        <v>2655.2966843471399</v>
      </c>
      <c r="I92" s="155">
        <f t="shared" ref="I92:I126" si="5">ABS(H92-$B$22)</f>
        <v>653.36533768544905</v>
      </c>
      <c r="J92" s="19"/>
      <c r="P92" s="133"/>
    </row>
    <row r="93" spans="1:16" ht="13.25" customHeight="1">
      <c r="A93" s="139">
        <v>67</v>
      </c>
      <c r="B93" s="165"/>
      <c r="C93" s="165"/>
      <c r="D93" s="165"/>
      <c r="E93" s="165"/>
      <c r="F93" s="165"/>
      <c r="G93" s="154">
        <v>9.9999999999999994E-12</v>
      </c>
      <c r="H93" s="150">
        <f t="shared" si="4"/>
        <v>2696.1320179524805</v>
      </c>
      <c r="I93" s="155">
        <f t="shared" si="5"/>
        <v>694.20067129078961</v>
      </c>
      <c r="J93" s="19"/>
      <c r="K93" s="133"/>
      <c r="L93" s="133"/>
      <c r="M93" s="133"/>
      <c r="N93" s="133"/>
      <c r="O93" s="133"/>
      <c r="P93" s="133"/>
    </row>
    <row r="94" spans="1:16" ht="13.25" customHeight="1">
      <c r="A94" s="139">
        <v>68</v>
      </c>
      <c r="B94" s="165"/>
      <c r="C94" s="165"/>
      <c r="D94" s="165"/>
      <c r="E94" s="165"/>
      <c r="F94" s="165"/>
      <c r="G94" s="154">
        <v>9.9999999999999994E-12</v>
      </c>
      <c r="H94" s="150">
        <f t="shared" si="4"/>
        <v>2736.9673515578211</v>
      </c>
      <c r="I94" s="155">
        <f t="shared" si="5"/>
        <v>735.03600489613018</v>
      </c>
      <c r="J94" s="19"/>
      <c r="K94" s="133"/>
      <c r="L94" s="133"/>
      <c r="M94" s="133"/>
      <c r="N94" s="133"/>
      <c r="O94" s="133"/>
      <c r="P94" s="133"/>
    </row>
    <row r="95" spans="1:16" ht="13.25" customHeight="1">
      <c r="A95" s="139">
        <v>69</v>
      </c>
      <c r="B95" s="165"/>
      <c r="C95" s="165"/>
      <c r="D95" s="165"/>
      <c r="E95" s="165"/>
      <c r="F95" s="165"/>
      <c r="G95" s="154">
        <v>9.9999999999999994E-12</v>
      </c>
      <c r="H95" s="150">
        <f t="shared" si="4"/>
        <v>2777.8026851631616</v>
      </c>
      <c r="I95" s="155">
        <f t="shared" si="5"/>
        <v>775.87133850147075</v>
      </c>
      <c r="J95" s="19"/>
      <c r="K95" s="133"/>
      <c r="L95" s="133"/>
      <c r="M95" s="133"/>
      <c r="N95" s="133"/>
      <c r="O95" s="133"/>
      <c r="P95" s="133"/>
    </row>
    <row r="96" spans="1:16" ht="13.25" customHeight="1">
      <c r="A96" s="139">
        <v>70</v>
      </c>
      <c r="B96" s="165"/>
      <c r="C96" s="165"/>
      <c r="D96" s="165"/>
      <c r="E96" s="165"/>
      <c r="F96" s="165"/>
      <c r="G96" s="154">
        <v>9.9999999999999994E-12</v>
      </c>
      <c r="H96" s="150">
        <f t="shared" si="4"/>
        <v>2818.6380187685022</v>
      </c>
      <c r="I96" s="155">
        <f t="shared" si="5"/>
        <v>816.70667210681131</v>
      </c>
      <c r="J96" s="19"/>
      <c r="K96" s="133"/>
      <c r="L96" s="133"/>
      <c r="M96" s="133"/>
      <c r="N96" s="133"/>
      <c r="O96" s="133"/>
      <c r="P96" s="133"/>
    </row>
    <row r="97" spans="1:14">
      <c r="A97" s="139">
        <v>71</v>
      </c>
      <c r="B97" s="165"/>
      <c r="C97" s="165"/>
      <c r="D97" s="165"/>
      <c r="E97" s="165"/>
      <c r="F97" s="165"/>
      <c r="G97" s="154">
        <v>9.9999999999999994E-12</v>
      </c>
      <c r="H97" s="150">
        <f t="shared" si="4"/>
        <v>2859.4733523738428</v>
      </c>
      <c r="I97" s="155">
        <f t="shared" si="5"/>
        <v>857.54200571215188</v>
      </c>
      <c r="J97" s="19"/>
      <c r="K97" s="19"/>
      <c r="L97" s="19"/>
      <c r="M97" s="19"/>
      <c r="N97" s="8"/>
    </row>
    <row r="98" spans="1:14">
      <c r="A98" s="139">
        <v>72</v>
      </c>
      <c r="B98" s="165"/>
      <c r="C98" s="165"/>
      <c r="D98" s="165"/>
      <c r="E98" s="165"/>
      <c r="F98" s="165"/>
      <c r="G98" s="154">
        <v>9.9999999999999994E-12</v>
      </c>
      <c r="H98" s="150">
        <f t="shared" si="4"/>
        <v>2900.3086859791833</v>
      </c>
      <c r="I98" s="155">
        <f t="shared" si="5"/>
        <v>898.37733931749244</v>
      </c>
      <c r="J98" s="19"/>
      <c r="K98" s="19"/>
      <c r="L98" s="19"/>
      <c r="M98" s="19"/>
      <c r="N98" s="8"/>
    </row>
    <row r="99" spans="1:14">
      <c r="A99" s="139">
        <v>73</v>
      </c>
      <c r="B99" s="165"/>
      <c r="C99" s="165"/>
      <c r="D99" s="165"/>
      <c r="E99" s="165"/>
      <c r="F99" s="165"/>
      <c r="G99" s="154">
        <v>9.9999999999999994E-12</v>
      </c>
      <c r="H99" s="150">
        <f t="shared" si="4"/>
        <v>2941.1440195845239</v>
      </c>
      <c r="I99" s="155">
        <f t="shared" si="5"/>
        <v>939.21267292283301</v>
      </c>
      <c r="J99" s="19"/>
      <c r="K99" s="19"/>
      <c r="L99" s="19"/>
      <c r="M99" s="19"/>
      <c r="N99" s="8"/>
    </row>
    <row r="100" spans="1:14">
      <c r="A100" s="139">
        <v>74</v>
      </c>
      <c r="B100" s="165"/>
      <c r="C100" s="165"/>
      <c r="D100" s="165"/>
      <c r="E100" s="165"/>
      <c r="F100" s="165"/>
      <c r="G100" s="154">
        <v>9.9999999999999994E-12</v>
      </c>
      <c r="H100" s="150">
        <f t="shared" si="4"/>
        <v>2981.9793531898645</v>
      </c>
      <c r="I100" s="155">
        <f t="shared" si="5"/>
        <v>980.04800652817357</v>
      </c>
      <c r="J100" s="19"/>
      <c r="K100" s="19"/>
      <c r="L100" s="19"/>
      <c r="M100" s="19"/>
      <c r="N100" s="8"/>
    </row>
    <row r="101" spans="1:14">
      <c r="A101" s="139">
        <v>75</v>
      </c>
      <c r="B101" s="165"/>
      <c r="C101" s="165"/>
      <c r="D101" s="165"/>
      <c r="E101" s="165"/>
      <c r="F101" s="165"/>
      <c r="G101" s="154">
        <v>9.9999999999999994E-12</v>
      </c>
      <c r="H101" s="150">
        <f t="shared" si="4"/>
        <v>3022.814686795205</v>
      </c>
      <c r="I101" s="155">
        <f t="shared" si="5"/>
        <v>1020.8833401335141</v>
      </c>
      <c r="J101" s="19"/>
      <c r="K101" s="19"/>
      <c r="L101" s="19"/>
      <c r="M101" s="19"/>
      <c r="N101" s="8"/>
    </row>
    <row r="102" spans="1:14">
      <c r="A102" s="139">
        <v>76</v>
      </c>
      <c r="B102" s="165"/>
      <c r="C102" s="165"/>
      <c r="D102" s="165"/>
      <c r="E102" s="165"/>
      <c r="F102" s="165"/>
      <c r="G102" s="154">
        <v>9.9999999999999994E-12</v>
      </c>
      <c r="H102" s="150">
        <f t="shared" si="4"/>
        <v>3063.6500204005456</v>
      </c>
      <c r="I102" s="155">
        <f t="shared" si="5"/>
        <v>1061.7186737388547</v>
      </c>
      <c r="J102" s="19"/>
      <c r="K102" s="19"/>
      <c r="L102" s="19"/>
      <c r="M102" s="19"/>
      <c r="N102" s="8"/>
    </row>
    <row r="103" spans="1:14">
      <c r="A103" s="139">
        <v>77</v>
      </c>
      <c r="B103" s="165"/>
      <c r="C103" s="165"/>
      <c r="D103" s="165"/>
      <c r="E103" s="165"/>
      <c r="F103" s="165"/>
      <c r="G103" s="154">
        <v>9.9999999999999994E-12</v>
      </c>
      <c r="H103" s="150">
        <f t="shared" si="4"/>
        <v>3104.4853540058862</v>
      </c>
      <c r="I103" s="155">
        <f t="shared" si="5"/>
        <v>1102.5540073441953</v>
      </c>
      <c r="J103" s="19"/>
      <c r="K103" s="19"/>
      <c r="L103" s="19"/>
      <c r="M103" s="19"/>
      <c r="N103" s="8"/>
    </row>
    <row r="104" spans="1:14">
      <c r="A104" s="139">
        <v>78</v>
      </c>
      <c r="B104" s="165"/>
      <c r="C104" s="165"/>
      <c r="D104" s="165"/>
      <c r="E104" s="165"/>
      <c r="F104" s="165"/>
      <c r="G104" s="154">
        <v>9.9999999999999994E-12</v>
      </c>
      <c r="H104" s="150">
        <f t="shared" si="4"/>
        <v>3145.3206876112267</v>
      </c>
      <c r="I104" s="155">
        <f t="shared" si="5"/>
        <v>1143.3893409495358</v>
      </c>
      <c r="J104" s="19"/>
      <c r="K104" s="19"/>
      <c r="L104" s="19"/>
      <c r="M104" s="19"/>
      <c r="N104" s="8"/>
    </row>
    <row r="105" spans="1:14">
      <c r="A105" s="139">
        <v>79</v>
      </c>
      <c r="B105" s="165"/>
      <c r="C105" s="165"/>
      <c r="D105" s="165"/>
      <c r="E105" s="165"/>
      <c r="F105" s="165"/>
      <c r="G105" s="154">
        <v>9.9999999999999994E-12</v>
      </c>
      <c r="H105" s="150">
        <f t="shared" si="4"/>
        <v>3186.1560212165673</v>
      </c>
      <c r="I105" s="155">
        <f t="shared" si="5"/>
        <v>1184.2246745548764</v>
      </c>
      <c r="J105" s="8"/>
      <c r="K105" s="8"/>
      <c r="L105" s="8"/>
      <c r="M105" s="8"/>
      <c r="N105" s="8"/>
    </row>
    <row r="106" spans="1:14">
      <c r="A106" s="139">
        <v>80</v>
      </c>
      <c r="B106" s="165"/>
      <c r="C106" s="165"/>
      <c r="D106" s="165"/>
      <c r="E106" s="165"/>
      <c r="F106" s="165"/>
      <c r="G106" s="154">
        <v>9.9999999999999994E-12</v>
      </c>
      <c r="H106" s="150">
        <f t="shared" si="4"/>
        <v>3226.9913548219079</v>
      </c>
      <c r="I106" s="155">
        <f t="shared" si="5"/>
        <v>1225.060008160217</v>
      </c>
      <c r="J106" s="8"/>
      <c r="K106" s="8"/>
      <c r="L106" s="8"/>
      <c r="M106" s="8"/>
      <c r="N106" s="8"/>
    </row>
    <row r="107" spans="1:14">
      <c r="A107" s="139">
        <v>81</v>
      </c>
      <c r="B107" s="165"/>
      <c r="C107" s="165"/>
      <c r="D107" s="165"/>
      <c r="E107" s="165"/>
      <c r="F107" s="165"/>
      <c r="G107" s="154">
        <v>9.9999999999999994E-12</v>
      </c>
      <c r="H107" s="150">
        <f t="shared" si="4"/>
        <v>3267.8266884272484</v>
      </c>
      <c r="I107" s="155">
        <f t="shared" si="5"/>
        <v>1265.8953417655575</v>
      </c>
      <c r="J107" s="8"/>
      <c r="K107" s="8"/>
      <c r="L107" s="8"/>
      <c r="M107" s="8"/>
      <c r="N107" s="8"/>
    </row>
    <row r="108" spans="1:14">
      <c r="A108" s="139">
        <v>82</v>
      </c>
      <c r="B108" s="165"/>
      <c r="C108" s="165"/>
      <c r="D108" s="165"/>
      <c r="E108" s="165"/>
      <c r="F108" s="165"/>
      <c r="G108" s="154">
        <v>9.9999999999999994E-12</v>
      </c>
      <c r="H108" s="150">
        <f t="shared" si="4"/>
        <v>3308.662022032589</v>
      </c>
      <c r="I108" s="155">
        <f t="shared" si="5"/>
        <v>1306.7306753708981</v>
      </c>
      <c r="J108" s="8"/>
      <c r="K108" s="8"/>
      <c r="L108" s="8"/>
      <c r="M108" s="8"/>
      <c r="N108" s="8"/>
    </row>
    <row r="109" spans="1:14">
      <c r="A109" s="139">
        <v>83</v>
      </c>
      <c r="B109" s="165"/>
      <c r="C109" s="165"/>
      <c r="D109" s="165"/>
      <c r="E109" s="165"/>
      <c r="F109" s="165"/>
      <c r="G109" s="154">
        <v>9.9999999999999994E-12</v>
      </c>
      <c r="H109" s="150">
        <f t="shared" si="4"/>
        <v>3349.4973556379296</v>
      </c>
      <c r="I109" s="155">
        <f t="shared" si="5"/>
        <v>1347.5660089762387</v>
      </c>
      <c r="J109" s="8"/>
      <c r="K109" s="8"/>
      <c r="L109" s="8"/>
      <c r="M109" s="8"/>
      <c r="N109" s="8"/>
    </row>
    <row r="110" spans="1:14">
      <c r="A110" s="139">
        <v>84</v>
      </c>
      <c r="B110" s="165"/>
      <c r="C110" s="165"/>
      <c r="D110" s="165"/>
      <c r="E110" s="165"/>
      <c r="F110" s="165"/>
      <c r="G110" s="154">
        <v>9.9999999999999994E-12</v>
      </c>
      <c r="H110" s="150">
        <f t="shared" si="4"/>
        <v>3390.3326892432701</v>
      </c>
      <c r="I110" s="155">
        <f t="shared" si="5"/>
        <v>1388.4013425815792</v>
      </c>
      <c r="J110" s="8"/>
      <c r="K110" s="8"/>
      <c r="L110" s="8"/>
      <c r="M110" s="8"/>
      <c r="N110" s="8"/>
    </row>
    <row r="111" spans="1:14">
      <c r="A111" s="139">
        <v>85</v>
      </c>
      <c r="B111" s="165"/>
      <c r="C111" s="165"/>
      <c r="D111" s="165"/>
      <c r="E111" s="165"/>
      <c r="F111" s="165"/>
      <c r="G111" s="154">
        <v>9.9999999999999994E-12</v>
      </c>
      <c r="H111" s="150">
        <f t="shared" si="4"/>
        <v>3431.1680228486107</v>
      </c>
      <c r="I111" s="155">
        <f t="shared" si="5"/>
        <v>1429.2366761869198</v>
      </c>
      <c r="J111" s="8"/>
      <c r="K111" s="8"/>
      <c r="L111" s="8"/>
      <c r="M111" s="8"/>
      <c r="N111" s="8"/>
    </row>
    <row r="112" spans="1:14">
      <c r="A112" s="139">
        <v>86</v>
      </c>
      <c r="B112" s="165"/>
      <c r="C112" s="165"/>
      <c r="D112" s="165"/>
      <c r="E112" s="165"/>
      <c r="F112" s="165"/>
      <c r="G112" s="154">
        <v>9.9999999999999994E-12</v>
      </c>
      <c r="H112" s="150">
        <f t="shared" si="4"/>
        <v>3472.0033564539513</v>
      </c>
      <c r="I112" s="155">
        <f t="shared" si="5"/>
        <v>1470.0720097922604</v>
      </c>
      <c r="J112" s="8"/>
      <c r="K112" s="8"/>
      <c r="L112" s="8"/>
      <c r="M112" s="8"/>
      <c r="N112" s="8"/>
    </row>
    <row r="113" spans="1:14">
      <c r="A113" s="139">
        <v>87</v>
      </c>
      <c r="B113" s="165"/>
      <c r="C113" s="165"/>
      <c r="D113" s="165"/>
      <c r="E113" s="165"/>
      <c r="F113" s="165"/>
      <c r="G113" s="154">
        <v>9.9999999999999994E-12</v>
      </c>
      <c r="H113" s="150">
        <f t="shared" si="4"/>
        <v>3512.8386900592918</v>
      </c>
      <c r="I113" s="155">
        <f t="shared" si="5"/>
        <v>1510.9073433976009</v>
      </c>
      <c r="J113" s="8"/>
      <c r="K113" s="8"/>
      <c r="L113" s="8"/>
      <c r="M113" s="8"/>
      <c r="N113" s="8"/>
    </row>
    <row r="114" spans="1:14">
      <c r="A114" s="139">
        <v>88</v>
      </c>
      <c r="B114" s="165"/>
      <c r="C114" s="165"/>
      <c r="D114" s="165"/>
      <c r="E114" s="165"/>
      <c r="F114" s="165"/>
      <c r="G114" s="154">
        <v>9.9999999999999994E-12</v>
      </c>
      <c r="H114" s="150">
        <f t="shared" si="4"/>
        <v>3553.6740236646324</v>
      </c>
      <c r="I114" s="155">
        <f t="shared" si="5"/>
        <v>1551.7426770029415</v>
      </c>
      <c r="J114" s="8"/>
      <c r="K114" s="8"/>
      <c r="L114" s="8"/>
      <c r="M114" s="8"/>
      <c r="N114" s="8"/>
    </row>
    <row r="115" spans="1:14">
      <c r="A115" s="139">
        <v>89</v>
      </c>
      <c r="B115" s="165"/>
      <c r="C115" s="165"/>
      <c r="D115" s="165"/>
      <c r="E115" s="165"/>
      <c r="F115" s="165"/>
      <c r="G115" s="154">
        <v>9.9999999999999994E-12</v>
      </c>
      <c r="H115" s="150">
        <f t="shared" si="4"/>
        <v>3594.509357269973</v>
      </c>
      <c r="I115" s="155">
        <f t="shared" si="5"/>
        <v>1592.5780106082821</v>
      </c>
      <c r="J115" s="8"/>
      <c r="K115" s="8"/>
      <c r="L115" s="8"/>
      <c r="M115" s="8"/>
      <c r="N115" s="8"/>
    </row>
    <row r="116" spans="1:14">
      <c r="A116" s="139">
        <v>90</v>
      </c>
      <c r="B116" s="165"/>
      <c r="C116" s="165"/>
      <c r="D116" s="165"/>
      <c r="E116" s="165"/>
      <c r="F116" s="165"/>
      <c r="G116" s="154">
        <v>9.9999999999999994E-12</v>
      </c>
      <c r="H116" s="150">
        <f t="shared" si="4"/>
        <v>3635.3446908753135</v>
      </c>
      <c r="I116" s="155">
        <f t="shared" si="5"/>
        <v>1633.4133442136226</v>
      </c>
      <c r="J116" s="8"/>
      <c r="K116" s="8"/>
      <c r="L116" s="8"/>
      <c r="M116" s="8"/>
      <c r="N116" s="8"/>
    </row>
    <row r="117" spans="1:14">
      <c r="A117" s="139">
        <v>91</v>
      </c>
      <c r="B117" s="165"/>
      <c r="C117" s="165"/>
      <c r="D117" s="165"/>
      <c r="E117" s="165"/>
      <c r="F117" s="165"/>
      <c r="G117" s="154">
        <v>9.9999999999999994E-12</v>
      </c>
      <c r="H117" s="150">
        <f t="shared" si="4"/>
        <v>3676.1800244806541</v>
      </c>
      <c r="I117" s="155">
        <f t="shared" si="5"/>
        <v>1674.2486778189632</v>
      </c>
      <c r="J117" s="8"/>
      <c r="K117" s="8"/>
      <c r="L117" s="8"/>
      <c r="M117" s="8"/>
      <c r="N117" s="8"/>
    </row>
    <row r="118" spans="1:14">
      <c r="A118" s="139">
        <v>92</v>
      </c>
      <c r="B118" s="165"/>
      <c r="C118" s="165"/>
      <c r="D118" s="165"/>
      <c r="E118" s="165"/>
      <c r="F118" s="165"/>
      <c r="G118" s="154">
        <v>9.9999999999999994E-12</v>
      </c>
      <c r="H118" s="150">
        <f t="shared" si="4"/>
        <v>3717.0153580859946</v>
      </c>
      <c r="I118" s="155">
        <f t="shared" si="5"/>
        <v>1715.0840114243038</v>
      </c>
      <c r="J118" s="8"/>
      <c r="K118" s="8"/>
      <c r="L118" s="8"/>
      <c r="M118" s="8"/>
      <c r="N118" s="8"/>
    </row>
    <row r="119" spans="1:14">
      <c r="A119" s="139">
        <v>93</v>
      </c>
      <c r="B119" s="165"/>
      <c r="C119" s="165"/>
      <c r="D119" s="165"/>
      <c r="E119" s="165"/>
      <c r="F119" s="165"/>
      <c r="G119" s="154">
        <v>9.9999999999999994E-12</v>
      </c>
      <c r="H119" s="150">
        <f t="shared" si="4"/>
        <v>3757.8506916913352</v>
      </c>
      <c r="I119" s="155">
        <f t="shared" si="5"/>
        <v>1755.9193450296443</v>
      </c>
      <c r="J119" s="8"/>
      <c r="K119" s="8"/>
      <c r="L119" s="8"/>
      <c r="M119" s="8"/>
      <c r="N119" s="8"/>
    </row>
    <row r="120" spans="1:14">
      <c r="A120" s="139">
        <v>94</v>
      </c>
      <c r="B120" s="165"/>
      <c r="C120" s="165"/>
      <c r="D120" s="165"/>
      <c r="E120" s="165"/>
      <c r="F120" s="165"/>
      <c r="G120" s="154">
        <v>9.9999999999999994E-12</v>
      </c>
      <c r="H120" s="150">
        <f t="shared" si="4"/>
        <v>3798.6860252966758</v>
      </c>
      <c r="I120" s="155">
        <f t="shared" si="5"/>
        <v>1796.7546786349849</v>
      </c>
      <c r="J120" s="8"/>
      <c r="K120" s="8"/>
      <c r="L120" s="8"/>
      <c r="M120" s="8"/>
      <c r="N120" s="8"/>
    </row>
    <row r="121" spans="1:14">
      <c r="A121" s="139">
        <v>95</v>
      </c>
      <c r="B121" s="165"/>
      <c r="C121" s="165"/>
      <c r="D121" s="165"/>
      <c r="E121" s="165"/>
      <c r="F121" s="165"/>
      <c r="G121" s="154">
        <v>9.9999999999999994E-12</v>
      </c>
      <c r="H121" s="150">
        <f t="shared" si="4"/>
        <v>3839.5213589020163</v>
      </c>
      <c r="I121" s="155">
        <f t="shared" si="5"/>
        <v>1837.5900122403254</v>
      </c>
      <c r="J121" s="8"/>
      <c r="K121" s="8"/>
      <c r="L121" s="8"/>
      <c r="M121" s="8"/>
      <c r="N121" s="8"/>
    </row>
    <row r="122" spans="1:14">
      <c r="A122" s="139">
        <v>96</v>
      </c>
      <c r="B122" s="165"/>
      <c r="C122" s="165"/>
      <c r="D122" s="165"/>
      <c r="E122" s="165"/>
      <c r="F122" s="165"/>
      <c r="G122" s="154">
        <v>9.9999999999999994E-12</v>
      </c>
      <c r="H122" s="150">
        <f t="shared" si="4"/>
        <v>3880.3566925073569</v>
      </c>
      <c r="I122" s="155">
        <f t="shared" si="5"/>
        <v>1878.425345845666</v>
      </c>
      <c r="J122" s="8"/>
      <c r="K122" s="8"/>
      <c r="L122" s="8"/>
      <c r="M122" s="8"/>
      <c r="N122" s="8"/>
    </row>
    <row r="123" spans="1:14">
      <c r="A123" s="139">
        <v>97</v>
      </c>
      <c r="B123" s="165"/>
      <c r="C123" s="165"/>
      <c r="D123" s="165"/>
      <c r="E123" s="165"/>
      <c r="F123" s="165"/>
      <c r="G123" s="154">
        <v>9.9999999999999994E-12</v>
      </c>
      <c r="H123" s="150">
        <f t="shared" si="4"/>
        <v>3921.1920261126975</v>
      </c>
      <c r="I123" s="155">
        <f t="shared" si="5"/>
        <v>1919.2606794510066</v>
      </c>
      <c r="J123" s="8"/>
      <c r="K123" s="8"/>
      <c r="L123" s="8"/>
      <c r="M123" s="8"/>
      <c r="N123" s="8"/>
    </row>
    <row r="124" spans="1:14">
      <c r="A124" s="139">
        <v>98</v>
      </c>
      <c r="B124" s="165"/>
      <c r="C124" s="165"/>
      <c r="D124" s="165"/>
      <c r="E124" s="165"/>
      <c r="F124" s="165"/>
      <c r="G124" s="154">
        <v>9.9999999999999994E-12</v>
      </c>
      <c r="H124" s="150">
        <f t="shared" si="4"/>
        <v>3962.027359718038</v>
      </c>
      <c r="I124" s="155">
        <f t="shared" si="5"/>
        <v>1960.0960130563471</v>
      </c>
      <c r="J124" s="8"/>
      <c r="K124" s="8"/>
      <c r="L124" s="8"/>
      <c r="M124" s="8"/>
      <c r="N124" s="8"/>
    </row>
    <row r="125" spans="1:14">
      <c r="A125" s="139">
        <v>99</v>
      </c>
      <c r="B125" s="165"/>
      <c r="C125" s="165"/>
      <c r="D125" s="165"/>
      <c r="E125" s="165"/>
      <c r="F125" s="165"/>
      <c r="G125" s="154">
        <v>9.9999999999999994E-12</v>
      </c>
      <c r="H125" s="150">
        <f t="shared" si="4"/>
        <v>4002.8626933233786</v>
      </c>
      <c r="I125" s="155">
        <f t="shared" si="5"/>
        <v>2000.9313466616877</v>
      </c>
      <c r="J125" s="8"/>
      <c r="K125" s="8"/>
    </row>
    <row r="126" spans="1:14" ht="13.15" thickBot="1">
      <c r="A126" s="138">
        <v>100</v>
      </c>
      <c r="B126" s="165"/>
      <c r="C126" s="165"/>
      <c r="D126" s="165"/>
      <c r="E126" s="165"/>
      <c r="F126" s="165"/>
      <c r="G126" s="156">
        <v>9.9999999999999994E-12</v>
      </c>
      <c r="H126" s="157">
        <f t="shared" si="4"/>
        <v>4043.6980269287192</v>
      </c>
      <c r="I126" s="158">
        <f t="shared" si="5"/>
        <v>2041.7666802670283</v>
      </c>
      <c r="J126" s="8"/>
      <c r="K126" s="8"/>
    </row>
    <row r="127" spans="1:14">
      <c r="A127" s="8"/>
      <c r="B127" s="8"/>
      <c r="C127" s="8"/>
      <c r="D127" s="8"/>
      <c r="E127" s="8"/>
      <c r="F127" s="8"/>
      <c r="G127" s="8"/>
      <c r="H127" s="8"/>
      <c r="I127" s="8"/>
      <c r="J127" s="8"/>
      <c r="K127" s="8"/>
    </row>
    <row r="128" spans="1:14">
      <c r="A128" s="8"/>
      <c r="B128" s="8"/>
      <c r="C128" s="8"/>
      <c r="D128" s="8"/>
      <c r="E128" s="8"/>
      <c r="F128" s="8"/>
      <c r="G128" s="8"/>
      <c r="H128" s="8"/>
      <c r="I128" s="8"/>
      <c r="J128" s="8"/>
      <c r="K128" s="8"/>
    </row>
    <row r="129" spans="1:11">
      <c r="A129" s="8"/>
      <c r="B129" s="8"/>
      <c r="C129" s="8"/>
      <c r="D129" s="8"/>
      <c r="E129" s="8"/>
      <c r="F129" s="8"/>
      <c r="G129" s="8"/>
      <c r="H129" s="8"/>
      <c r="I129" s="8"/>
      <c r="J129" s="8"/>
      <c r="K129" s="8"/>
    </row>
    <row r="130" spans="1:11">
      <c r="A130" s="8"/>
      <c r="B130" s="8"/>
      <c r="C130" s="8"/>
      <c r="D130" s="8"/>
      <c r="E130" s="8"/>
      <c r="F130" s="8"/>
      <c r="G130" s="8"/>
      <c r="H130" s="8"/>
      <c r="I130" s="8"/>
      <c r="J130" s="8"/>
      <c r="K130" s="8"/>
    </row>
    <row r="131" spans="1:11">
      <c r="A131" s="8"/>
      <c r="B131" s="8"/>
      <c r="C131" s="8"/>
      <c r="D131" s="8"/>
      <c r="E131" s="8"/>
      <c r="F131" s="8"/>
      <c r="G131" s="8"/>
      <c r="H131" s="8"/>
      <c r="I131" s="8"/>
      <c r="J131" s="8"/>
      <c r="K131" s="8"/>
    </row>
  </sheetData>
  <mergeCells count="1">
    <mergeCell ref="B86:F126"/>
  </mergeCells>
  <phoneticPr fontId="2" type="noConversion"/>
  <pageMargins left="0.75" right="0.75" top="1" bottom="1" header="0.5" footer="0.5"/>
  <pageSetup paperSize="9" orientation="portrait" horizontalDpi="240" verticalDpi="144"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sheet2</vt:lpstr>
      <vt:lpstr>sheet3</vt:lpstr>
      <vt:lpstr>sheet4</vt:lpstr>
      <vt:lpstr>sheet5</vt:lpstr>
    </vt:vector>
  </TitlesOfParts>
  <Company>КТУ</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Лабораторная работа №_7: Исследование метода Ньютона при решении задачи №1.</dc:title>
  <dc:subject>Методы оптимизации</dc:subject>
  <dc:creator>ten_IG</dc:creator>
  <dc:description>15.08.2007 The file has been updated for POVT-05!</dc:description>
  <cp:lastModifiedBy>user</cp:lastModifiedBy>
  <cp:lastPrinted>2002-03-06T11:00:53Z</cp:lastPrinted>
  <dcterms:created xsi:type="dcterms:W3CDTF">2002-01-25T11:06:38Z</dcterms:created>
  <dcterms:modified xsi:type="dcterms:W3CDTF">2018-12-06T16:13:32Z</dcterms:modified>
  <cp:category>POVT-5-01</cp:category>
</cp:coreProperties>
</file>