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kstu\se_3\mo\lab_3\"/>
    </mc:Choice>
  </mc:AlternateContent>
  <bookViews>
    <workbookView xWindow="-15" yWindow="3135" windowWidth="15330" windowHeight="3150"/>
  </bookViews>
  <sheets>
    <sheet name="Sheet1" sheetId="1" r:id="rId1"/>
    <sheet name="Sheet2" sheetId="2" r:id="rId2"/>
    <sheet name="Sheet3" sheetId="3" r:id="rId3"/>
    <sheet name="sheet4" sheetId="4" r:id="rId4"/>
    <sheet name="sheet5" sheetId="5" r:id="rId5"/>
  </sheets>
  <definedNames>
    <definedName name="_xlnm._FilterDatabase" localSheetId="4" hidden="1">sheet5!$A$12:$J$57</definedName>
  </definedNames>
  <calcPr calcId="162913"/>
</workbook>
</file>

<file path=xl/calcChain.xml><?xml version="1.0" encoding="utf-8"?>
<calcChain xmlns="http://schemas.openxmlformats.org/spreadsheetml/2006/main">
  <c r="H61" i="4" l="1"/>
  <c r="K67" i="1" l="1"/>
  <c r="J67" i="1" s="1"/>
  <c r="I67" i="1"/>
  <c r="K66" i="1"/>
  <c r="J66" i="1" s="1"/>
  <c r="I66" i="1"/>
  <c r="K65" i="1"/>
  <c r="J65" i="1"/>
  <c r="I65" i="1"/>
  <c r="K64" i="1"/>
  <c r="J64" i="1"/>
  <c r="I64" i="1"/>
  <c r="K63" i="1"/>
  <c r="J63" i="1" s="1"/>
  <c r="I63" i="1"/>
  <c r="K62" i="1"/>
  <c r="J62" i="1" s="1"/>
  <c r="I62" i="1"/>
  <c r="K61" i="1"/>
  <c r="J61" i="1"/>
  <c r="I61" i="1"/>
  <c r="K60" i="1"/>
  <c r="J60" i="1"/>
  <c r="I60" i="1"/>
  <c r="K59" i="1"/>
  <c r="J59" i="1" s="1"/>
  <c r="I59" i="1"/>
  <c r="K58" i="1"/>
  <c r="J58" i="1" s="1"/>
  <c r="I58" i="1"/>
  <c r="K57" i="1"/>
  <c r="J57" i="1"/>
  <c r="I57" i="1"/>
  <c r="K56" i="1"/>
  <c r="J56" i="1"/>
  <c r="I56" i="1"/>
  <c r="K55" i="1"/>
  <c r="J55" i="1" s="1"/>
  <c r="I55" i="1"/>
  <c r="K54" i="1"/>
  <c r="J54" i="1" s="1"/>
  <c r="I54" i="1"/>
  <c r="K53" i="1"/>
  <c r="J53" i="1"/>
  <c r="I53" i="1"/>
  <c r="K52" i="1"/>
  <c r="J52" i="1"/>
  <c r="I52" i="1"/>
  <c r="K51" i="1"/>
  <c r="J51" i="1"/>
  <c r="I51" i="1"/>
  <c r="K50" i="1"/>
  <c r="J50" i="1" s="1"/>
  <c r="I50" i="1"/>
  <c r="K49" i="1"/>
  <c r="J49" i="1"/>
  <c r="I49" i="1"/>
  <c r="K48" i="1"/>
  <c r="J48" i="1"/>
  <c r="I48" i="1"/>
  <c r="K47" i="1"/>
  <c r="J47" i="1"/>
  <c r="I47" i="1"/>
  <c r="K46" i="1"/>
  <c r="J46" i="1" s="1"/>
  <c r="I46" i="1"/>
  <c r="K45" i="1"/>
  <c r="J45" i="1"/>
  <c r="I45" i="1"/>
  <c r="K44" i="1"/>
  <c r="J44" i="1"/>
  <c r="I44" i="1"/>
  <c r="K43" i="1"/>
  <c r="J43" i="1"/>
  <c r="I43" i="1"/>
  <c r="K42" i="1"/>
  <c r="J42" i="1" s="1"/>
  <c r="I42" i="1"/>
  <c r="K41" i="1"/>
  <c r="J41" i="1"/>
  <c r="I41" i="1"/>
  <c r="K40" i="1"/>
  <c r="J40" i="1"/>
  <c r="I40" i="1"/>
  <c r="K39" i="1"/>
  <c r="J39" i="1"/>
  <c r="I39" i="1"/>
  <c r="K38" i="1"/>
  <c r="J38" i="1" s="1"/>
  <c r="I38" i="1"/>
  <c r="K37" i="1"/>
  <c r="J37" i="1"/>
  <c r="I37" i="1"/>
  <c r="K36" i="1"/>
  <c r="J36" i="1"/>
  <c r="I36" i="1"/>
  <c r="K35" i="1"/>
  <c r="J35" i="1"/>
  <c r="I35" i="1"/>
  <c r="K34" i="1"/>
  <c r="J34" i="1" s="1"/>
  <c r="I34" i="1"/>
  <c r="K33" i="1"/>
  <c r="J33" i="1"/>
  <c r="I33" i="1"/>
  <c r="K32" i="1"/>
  <c r="J32" i="1"/>
  <c r="I32" i="1"/>
  <c r="K31" i="1"/>
  <c r="J31" i="1"/>
  <c r="I31" i="1"/>
  <c r="K30" i="1"/>
  <c r="J30" i="1" s="1"/>
  <c r="I30" i="1"/>
  <c r="K29" i="1"/>
  <c r="J29" i="1"/>
  <c r="I29" i="1"/>
  <c r="K28" i="1"/>
  <c r="J28" i="1"/>
  <c r="I28" i="1"/>
  <c r="K27" i="1"/>
  <c r="J27" i="1"/>
  <c r="I27" i="1"/>
  <c r="K26" i="1"/>
  <c r="J26" i="1" s="1"/>
  <c r="I26" i="1"/>
  <c r="K25" i="1"/>
  <c r="J25" i="1"/>
  <c r="I25" i="1"/>
  <c r="K24" i="1"/>
  <c r="J24" i="1"/>
  <c r="I24" i="1"/>
  <c r="K23" i="1"/>
  <c r="J23" i="1"/>
  <c r="I23" i="1"/>
  <c r="K22" i="1"/>
  <c r="J22" i="1" s="1"/>
  <c r="I22" i="1"/>
  <c r="K21" i="1"/>
  <c r="J21" i="1"/>
  <c r="I21" i="1"/>
  <c r="K20" i="1"/>
  <c r="J20" i="1"/>
  <c r="I20" i="1"/>
  <c r="K19" i="1"/>
  <c r="J19" i="1"/>
  <c r="I19" i="1"/>
  <c r="K18" i="1"/>
  <c r="J18" i="1" s="1"/>
  <c r="I18" i="1"/>
  <c r="K17" i="1"/>
  <c r="J17" i="1"/>
  <c r="I17" i="1"/>
  <c r="K16" i="1"/>
  <c r="J16" i="1"/>
  <c r="I16" i="1"/>
  <c r="K15" i="1"/>
  <c r="J15" i="1"/>
  <c r="I15" i="1"/>
  <c r="K14" i="1"/>
  <c r="J14" i="1" s="1"/>
  <c r="I14" i="1"/>
  <c r="K13" i="1"/>
  <c r="J13" i="1"/>
  <c r="I13" i="1"/>
  <c r="K12" i="1"/>
  <c r="J12" i="1"/>
  <c r="I12" i="1"/>
  <c r="K11" i="1"/>
  <c r="J11" i="1"/>
  <c r="I11" i="1"/>
  <c r="K10" i="1"/>
  <c r="J10" i="1" s="1"/>
  <c r="I10" i="1"/>
  <c r="K9" i="1"/>
  <c r="J9" i="1"/>
  <c r="I9" i="1"/>
  <c r="K8" i="1"/>
  <c r="J8" i="1"/>
  <c r="I8" i="1"/>
  <c r="K7" i="1"/>
  <c r="J7" i="1"/>
  <c r="I7" i="1"/>
  <c r="K6" i="1"/>
  <c r="J6" i="1" s="1"/>
  <c r="I6" i="1"/>
  <c r="K5" i="1"/>
  <c r="J5" i="1"/>
  <c r="I5" i="1"/>
  <c r="K4" i="1"/>
  <c r="J4" i="1"/>
  <c r="I4" i="1"/>
  <c r="D36" i="2" l="1"/>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8" i="2" l="1"/>
  <c r="D9" i="2"/>
  <c r="D10" i="2"/>
  <c r="D11" i="2"/>
  <c r="D12" i="2"/>
  <c r="D13" i="2"/>
  <c r="D14" i="2"/>
  <c r="D15" i="2"/>
  <c r="D16" i="2"/>
  <c r="D17" i="2"/>
  <c r="D18" i="2"/>
  <c r="D19" i="2"/>
  <c r="D20" i="2"/>
  <c r="D21" i="2"/>
  <c r="D22" i="2"/>
  <c r="D23" i="2"/>
  <c r="D24" i="2"/>
  <c r="D25" i="2"/>
  <c r="D26" i="2"/>
  <c r="D27" i="2"/>
  <c r="D28" i="2"/>
  <c r="D29" i="2"/>
  <c r="D30" i="2"/>
  <c r="D31" i="2"/>
  <c r="D32" i="2"/>
  <c r="D33" i="2"/>
  <c r="D34" i="2"/>
  <c r="D35" i="2"/>
  <c r="B6" i="2"/>
  <c r="I5" i="4" l="1"/>
  <c r="J5" i="2" l="1"/>
  <c r="E7" i="3"/>
  <c r="C5" i="2"/>
  <c r="J6" i="2"/>
  <c r="K5" i="2"/>
  <c r="F7" i="3"/>
  <c r="D6" i="2" l="1"/>
  <c r="D7" i="2"/>
  <c r="J7" i="2"/>
  <c r="K6" i="2"/>
  <c r="D5" i="2"/>
  <c r="J8" i="2" l="1"/>
  <c r="K7" i="2"/>
  <c r="K8" i="2" l="1"/>
  <c r="J9" i="2"/>
  <c r="K9" i="2" l="1"/>
  <c r="J10" i="2"/>
  <c r="J11" i="2" l="1"/>
  <c r="K10" i="2"/>
  <c r="J12" i="2" l="1"/>
  <c r="K11" i="2"/>
  <c r="K12" i="2" l="1"/>
  <c r="J13" i="2"/>
  <c r="K13" i="2" l="1"/>
  <c r="J14" i="2"/>
  <c r="J15" i="2" l="1"/>
  <c r="K14" i="2"/>
  <c r="J16" i="2" l="1"/>
  <c r="K15" i="2"/>
  <c r="K16" i="2" l="1"/>
  <c r="J17" i="2"/>
  <c r="K17" i="2" l="1"/>
  <c r="J18" i="2"/>
  <c r="K18" i="2" l="1"/>
  <c r="J19" i="2"/>
  <c r="J20" i="2" l="1"/>
  <c r="K19" i="2"/>
  <c r="J21" i="2" l="1"/>
  <c r="K20" i="2"/>
  <c r="J22" i="2" l="1"/>
  <c r="K21" i="2"/>
  <c r="J23" i="2" l="1"/>
  <c r="K22" i="2"/>
  <c r="J24" i="2" l="1"/>
  <c r="K23" i="2"/>
  <c r="K24" i="2" l="1"/>
  <c r="J25" i="2"/>
  <c r="J26" i="2" l="1"/>
  <c r="K25" i="2"/>
  <c r="J27" i="2" l="1"/>
  <c r="K26" i="2"/>
  <c r="J28" i="2" l="1"/>
  <c r="K27" i="2"/>
  <c r="K28" i="2" l="1"/>
  <c r="J29" i="2"/>
  <c r="K29" i="2" l="1"/>
  <c r="J30" i="2"/>
  <c r="J31" i="2" l="1"/>
  <c r="K30" i="2"/>
  <c r="J32" i="2" l="1"/>
  <c r="K31" i="2"/>
  <c r="K32" i="2" l="1"/>
  <c r="J33" i="2"/>
  <c r="J34" i="2" l="1"/>
  <c r="K33" i="2"/>
  <c r="K34" i="2" l="1"/>
  <c r="J35" i="2"/>
  <c r="K35" i="2" s="1"/>
  <c r="E5" i="2"/>
  <c r="C6" i="2"/>
  <c r="B7" i="2" s="1"/>
  <c r="C7" i="2" s="1"/>
  <c r="B8" i="2" s="1"/>
  <c r="E6" i="2"/>
  <c r="E7" i="2" l="1"/>
  <c r="E8" i="2"/>
  <c r="C8" i="2"/>
  <c r="B9" i="2" s="1"/>
  <c r="E9" i="2" l="1"/>
  <c r="C9" i="2"/>
  <c r="B10" i="2" s="1"/>
  <c r="C10" i="2" l="1"/>
  <c r="B11" i="2" s="1"/>
  <c r="E10" i="2"/>
  <c r="E11" i="2" l="1"/>
  <c r="C11" i="2"/>
  <c r="B12" i="2" s="1"/>
  <c r="E12" i="2" l="1"/>
  <c r="C12" i="2"/>
  <c r="B13" i="2" s="1"/>
  <c r="C13" i="2" l="1"/>
  <c r="B14" i="2" s="1"/>
  <c r="E13" i="2"/>
  <c r="C14" i="2" l="1"/>
  <c r="B15" i="2" s="1"/>
  <c r="E14" i="2"/>
  <c r="C15" i="2" l="1"/>
  <c r="B16" i="2" s="1"/>
  <c r="E15" i="2"/>
  <c r="C16" i="2" l="1"/>
  <c r="B17" i="2" s="1"/>
  <c r="E16" i="2"/>
  <c r="C17" i="2" l="1"/>
  <c r="B18" i="2" s="1"/>
  <c r="E17" i="2"/>
  <c r="C18" i="2" l="1"/>
  <c r="B19" i="2" s="1"/>
  <c r="E18" i="2"/>
  <c r="C19" i="2" l="1"/>
  <c r="B20" i="2" s="1"/>
  <c r="E19" i="2"/>
  <c r="C20" i="2" l="1"/>
  <c r="B21" i="2" s="1"/>
  <c r="E20" i="2"/>
  <c r="C21" i="2" l="1"/>
  <c r="B22" i="2" s="1"/>
  <c r="E21" i="2"/>
  <c r="C22" i="2" l="1"/>
  <c r="B23" i="2" s="1"/>
  <c r="E22" i="2"/>
  <c r="C23" i="2" l="1"/>
  <c r="B24" i="2" s="1"/>
  <c r="E23" i="2"/>
  <c r="C24" i="2" l="1"/>
  <c r="B25" i="2" s="1"/>
  <c r="E24" i="2"/>
  <c r="C25" i="2" l="1"/>
  <c r="B26" i="2" s="1"/>
  <c r="E25" i="2"/>
  <c r="C26" i="2" l="1"/>
  <c r="B27" i="2" s="1"/>
  <c r="E26" i="2"/>
  <c r="C27" i="2" l="1"/>
  <c r="B28" i="2" s="1"/>
  <c r="E27" i="2"/>
  <c r="C28" i="2" l="1"/>
  <c r="B29" i="2" s="1"/>
  <c r="E28" i="2"/>
  <c r="C29" i="2" l="1"/>
  <c r="B30" i="2" s="1"/>
  <c r="E29" i="2"/>
  <c r="C30" i="2" l="1"/>
  <c r="B31" i="2" s="1"/>
  <c r="E30" i="2"/>
  <c r="C31" i="2" l="1"/>
  <c r="B32" i="2" s="1"/>
  <c r="E31" i="2"/>
  <c r="C32" i="2" l="1"/>
  <c r="B33" i="2" s="1"/>
  <c r="E32" i="2"/>
  <c r="C33" i="2" l="1"/>
  <c r="B34" i="2" s="1"/>
  <c r="E33" i="2"/>
  <c r="E34" i="2" l="1"/>
  <c r="C34" i="2"/>
  <c r="B35" i="2" s="1"/>
  <c r="C35" i="2" l="1"/>
  <c r="B36" i="2" s="1"/>
  <c r="E35" i="2"/>
  <c r="E36" i="2" l="1"/>
  <c r="C36" i="2"/>
  <c r="B37" i="2" s="1"/>
  <c r="C37" i="2" l="1"/>
  <c r="B38" i="2" s="1"/>
  <c r="E37" i="2"/>
  <c r="E38" i="2" l="1"/>
  <c r="C38" i="2"/>
  <c r="B39" i="2" s="1"/>
  <c r="C39" i="2" l="1"/>
  <c r="B40" i="2" s="1"/>
  <c r="E39" i="2"/>
  <c r="C40" i="2" l="1"/>
  <c r="B41" i="2" s="1"/>
  <c r="E40" i="2"/>
  <c r="C41" i="2" l="1"/>
  <c r="B42" i="2" s="1"/>
  <c r="E41" i="2"/>
  <c r="C42" i="2" l="1"/>
  <c r="B43" i="2" s="1"/>
  <c r="E42" i="2"/>
  <c r="C43" i="2" l="1"/>
  <c r="B44" i="2" s="1"/>
  <c r="E43" i="2"/>
  <c r="C44" i="2" l="1"/>
  <c r="B45" i="2" s="1"/>
  <c r="E44" i="2"/>
  <c r="E45" i="2" l="1"/>
  <c r="C45" i="2"/>
  <c r="B46" i="2" s="1"/>
  <c r="E46" i="2" l="1"/>
  <c r="C46" i="2"/>
  <c r="B47" i="2" s="1"/>
  <c r="C47" i="2" l="1"/>
  <c r="B48" i="2" s="1"/>
  <c r="E47" i="2"/>
  <c r="E48" i="2" l="1"/>
  <c r="C48" i="2"/>
  <c r="B49" i="2" s="1"/>
  <c r="E49" i="2" l="1"/>
  <c r="C49" i="2"/>
  <c r="B50" i="2" s="1"/>
  <c r="E50" i="2" l="1"/>
  <c r="C50" i="2"/>
  <c r="B51" i="2" s="1"/>
  <c r="C51" i="2" l="1"/>
  <c r="B52" i="2" s="1"/>
  <c r="E51" i="2"/>
  <c r="C52" i="2" l="1"/>
  <c r="B53" i="2" s="1"/>
  <c r="E52" i="2"/>
  <c r="C53" i="2" l="1"/>
  <c r="B54" i="2" s="1"/>
  <c r="E53" i="2"/>
  <c r="E54" i="2" l="1"/>
  <c r="C54" i="2"/>
  <c r="B55" i="2" s="1"/>
  <c r="C55" i="2" l="1"/>
  <c r="B56" i="2" s="1"/>
  <c r="E55" i="2"/>
  <c r="E56" i="2" l="1"/>
  <c r="C56" i="2"/>
  <c r="B57" i="2" s="1"/>
  <c r="E57" i="2" l="1"/>
  <c r="C57" i="2"/>
  <c r="B58" i="2" s="1"/>
  <c r="C58" i="2" l="1"/>
  <c r="B59" i="2" s="1"/>
  <c r="E58" i="2"/>
  <c r="C59" i="2" l="1"/>
  <c r="B60" i="2" s="1"/>
  <c r="E59" i="2"/>
  <c r="E60" i="2" l="1"/>
  <c r="C60" i="2"/>
  <c r="B61" i="2" s="1"/>
  <c r="E61" i="2" l="1"/>
  <c r="C61" i="2"/>
  <c r="B62" i="2" s="1"/>
  <c r="C62" i="2" l="1"/>
  <c r="B63" i="2" s="1"/>
  <c r="E62" i="2"/>
  <c r="C63" i="2" l="1"/>
  <c r="B64" i="2" s="1"/>
  <c r="E63" i="2"/>
  <c r="E64" i="2" l="1"/>
  <c r="C64" i="2"/>
  <c r="B65" i="2" s="1"/>
  <c r="E65" i="2" l="1"/>
  <c r="C65" i="2"/>
  <c r="B66" i="2" s="1"/>
  <c r="C66" i="2" l="1"/>
  <c r="B67" i="2" s="1"/>
  <c r="E66" i="2"/>
  <c r="C67" i="2" l="1"/>
  <c r="B68" i="2" s="1"/>
  <c r="E67" i="2"/>
  <c r="E68" i="2" l="1"/>
  <c r="C68" i="2"/>
  <c r="B69" i="2" s="1"/>
  <c r="E69" i="2" l="1"/>
  <c r="C69" i="2"/>
  <c r="B70" i="2" s="1"/>
  <c r="C70" i="2" l="1"/>
  <c r="B71" i="2" s="1"/>
  <c r="E70" i="2"/>
  <c r="C71" i="2" l="1"/>
  <c r="B72" i="2" s="1"/>
  <c r="E71" i="2"/>
  <c r="E72" i="2" l="1"/>
  <c r="C72" i="2"/>
  <c r="B73" i="2" s="1"/>
  <c r="E73" i="2" l="1"/>
  <c r="C73" i="2"/>
  <c r="B74" i="2" s="1"/>
  <c r="C74" i="2" l="1"/>
  <c r="B75" i="2" s="1"/>
  <c r="E74" i="2"/>
  <c r="C75" i="2" l="1"/>
  <c r="B76" i="2" s="1"/>
  <c r="E75" i="2"/>
  <c r="E76" i="2" l="1"/>
  <c r="C76" i="2"/>
  <c r="B77" i="2" s="1"/>
  <c r="E77" i="2" l="1"/>
  <c r="C77" i="2"/>
  <c r="B78" i="2" s="1"/>
  <c r="C78" i="2" l="1"/>
  <c r="B79" i="2" s="1"/>
  <c r="E78" i="2"/>
  <c r="C79" i="2" l="1"/>
  <c r="B80" i="2" s="1"/>
  <c r="E79" i="2"/>
  <c r="E80" i="2" l="1"/>
  <c r="C80" i="2"/>
  <c r="B81" i="2" s="1"/>
  <c r="E81" i="2" l="1"/>
  <c r="C81" i="2"/>
  <c r="B82" i="2" s="1"/>
  <c r="C82" i="2" l="1"/>
  <c r="B83" i="2" s="1"/>
  <c r="E82" i="2"/>
  <c r="C83" i="2" l="1"/>
  <c r="B84" i="2" s="1"/>
  <c r="E83" i="2"/>
  <c r="E84" i="2" l="1"/>
  <c r="C84" i="2"/>
  <c r="B85" i="2" s="1"/>
  <c r="E85" i="2" l="1"/>
  <c r="C85" i="2"/>
  <c r="B86" i="2" s="1"/>
  <c r="C86" i="2" l="1"/>
  <c r="B87" i="2" s="1"/>
  <c r="E86" i="2"/>
  <c r="C87" i="2" l="1"/>
  <c r="B88" i="2" s="1"/>
  <c r="E87" i="2"/>
  <c r="E88" i="2" l="1"/>
  <c r="C88" i="2"/>
  <c r="B89" i="2" s="1"/>
  <c r="E89" i="2" l="1"/>
  <c r="C89" i="2"/>
  <c r="B90" i="2" s="1"/>
  <c r="E90" i="2" l="1"/>
  <c r="C90" i="2"/>
  <c r="B91" i="2" s="1"/>
  <c r="C91" i="2" l="1"/>
  <c r="B92" i="2" s="1"/>
  <c r="E91" i="2"/>
  <c r="C92" i="2" l="1"/>
  <c r="B93" i="2" s="1"/>
  <c r="E92" i="2"/>
  <c r="E93" i="2" l="1"/>
  <c r="C93" i="2"/>
  <c r="B94" i="2" s="1"/>
  <c r="E94" i="2" l="1"/>
  <c r="C94" i="2"/>
  <c r="B95" i="2" s="1"/>
  <c r="C95" i="2" l="1"/>
  <c r="B96" i="2" s="1"/>
  <c r="E95" i="2"/>
  <c r="C96" i="2" l="1"/>
  <c r="B97" i="2" s="1"/>
  <c r="E96" i="2"/>
  <c r="E97" i="2" l="1"/>
  <c r="C97" i="2"/>
  <c r="B98" i="2" s="1"/>
  <c r="E98" i="2" l="1"/>
  <c r="C98" i="2"/>
  <c r="B99" i="2" s="1"/>
  <c r="C99" i="2" l="1"/>
  <c r="B100" i="2" s="1"/>
  <c r="E99" i="2"/>
  <c r="E100" i="2" l="1"/>
  <c r="C100" i="2"/>
  <c r="I7" i="4"/>
  <c r="F7" i="4"/>
  <c r="J7" i="4"/>
  <c r="H7" i="4"/>
  <c r="G7" i="4"/>
  <c r="I46" i="4"/>
  <c r="I39" i="5"/>
  <c r="I30" i="5"/>
  <c r="I76" i="5"/>
  <c r="I21" i="5"/>
  <c r="I43" i="5"/>
  <c r="I72" i="5"/>
  <c r="I68" i="5"/>
  <c r="I71" i="5"/>
  <c r="I27" i="5"/>
  <c r="I46" i="5"/>
  <c r="I39" i="4"/>
  <c r="I30" i="4"/>
  <c r="I20" i="5"/>
  <c r="I87" i="5"/>
  <c r="I84" i="5"/>
  <c r="I38" i="5"/>
  <c r="I28" i="5"/>
  <c r="I16" i="4"/>
  <c r="I21" i="4"/>
  <c r="I15" i="5"/>
  <c r="I70" i="5"/>
  <c r="I88" i="5"/>
  <c r="I16" i="5"/>
  <c r="I103" i="5"/>
  <c r="I47" i="5"/>
  <c r="I64" i="5"/>
  <c r="I44" i="5"/>
  <c r="I28" i="4"/>
  <c r="I53" i="4"/>
  <c r="I25" i="4"/>
  <c r="I62" i="5"/>
  <c r="I81" i="5"/>
  <c r="I79" i="5"/>
  <c r="I80" i="5"/>
  <c r="I74" i="5"/>
  <c r="I86" i="5"/>
  <c r="I96" i="5"/>
  <c r="I60" i="4"/>
  <c r="I49" i="5"/>
  <c r="I22" i="4"/>
  <c r="I57" i="4"/>
  <c r="I35" i="5"/>
  <c r="I44" i="4"/>
  <c r="I67" i="5"/>
  <c r="I41" i="4"/>
  <c r="I34" i="5"/>
  <c r="I22" i="5"/>
  <c r="I105" i="5"/>
  <c r="I38" i="4"/>
  <c r="I13" i="5"/>
  <c r="I55" i="4"/>
  <c r="I20" i="4"/>
  <c r="I37" i="4"/>
  <c r="I37" i="5"/>
  <c r="I31" i="5"/>
  <c r="I58" i="4"/>
  <c r="I43" i="4"/>
  <c r="I17" i="5"/>
  <c r="I97" i="5"/>
  <c r="I18" i="4"/>
  <c r="I69" i="5"/>
  <c r="I29" i="5"/>
  <c r="I50" i="5"/>
  <c r="I75" i="5"/>
  <c r="I50" i="4"/>
  <c r="I104" i="5"/>
  <c r="I35" i="4"/>
  <c r="I59" i="4"/>
  <c r="I66" i="5"/>
  <c r="I102" i="5"/>
  <c r="I25" i="5"/>
  <c r="I95" i="5"/>
  <c r="I78" i="5"/>
  <c r="I40" i="5"/>
  <c r="I56" i="5"/>
  <c r="I17" i="4"/>
  <c r="I54" i="5"/>
  <c r="I27" i="4"/>
  <c r="I98" i="5"/>
  <c r="I63" i="5"/>
  <c r="I31" i="4"/>
  <c r="I52" i="4"/>
  <c r="I83" i="5"/>
  <c r="I23" i="5"/>
  <c r="I61" i="5"/>
  <c r="D14" i="3"/>
  <c r="I100" i="5"/>
  <c r="I42" i="4"/>
  <c r="I33" i="4"/>
  <c r="I24" i="4"/>
  <c r="I26" i="4"/>
  <c r="I85" i="5"/>
  <c r="I33" i="5"/>
  <c r="I53" i="5"/>
  <c r="I34" i="4"/>
  <c r="I36" i="5"/>
  <c r="I41" i="5"/>
  <c r="I73" i="5"/>
  <c r="I45" i="4"/>
  <c r="I89" i="5"/>
  <c r="I49" i="4"/>
  <c r="I57" i="5"/>
  <c r="I18" i="5"/>
  <c r="I77" i="5"/>
  <c r="I65" i="5"/>
  <c r="I32" i="5"/>
  <c r="I32" i="4"/>
  <c r="I94" i="5"/>
  <c r="I19" i="4"/>
  <c r="I51" i="5"/>
  <c r="I51" i="4"/>
  <c r="I56" i="4"/>
  <c r="I82" i="5"/>
  <c r="I90" i="5"/>
  <c r="I40" i="4"/>
  <c r="I48" i="4"/>
  <c r="I19" i="5"/>
  <c r="I26" i="5"/>
  <c r="I24" i="5"/>
  <c r="I45" i="5"/>
  <c r="I91" i="5"/>
  <c r="I92" i="5"/>
  <c r="I23" i="4"/>
  <c r="I54" i="4"/>
  <c r="I29" i="4"/>
  <c r="I36" i="4"/>
  <c r="I48" i="5"/>
  <c r="I101" i="5"/>
  <c r="I14" i="5"/>
  <c r="I55" i="5"/>
  <c r="I52" i="5"/>
  <c r="I93" i="5"/>
  <c r="I47" i="4"/>
  <c r="I99" i="5"/>
  <c r="I42" i="5"/>
  <c r="I24" i="3"/>
  <c r="K24" i="3"/>
  <c r="I11" i="3"/>
  <c r="K11" i="3"/>
  <c r="J7" i="3"/>
  <c r="K7" i="3"/>
  <c r="K17" i="3"/>
  <c r="I17" i="3"/>
  <c r="K26" i="3"/>
  <c r="I26" i="3"/>
  <c r="I7" i="3"/>
  <c r="D24" i="3"/>
  <c r="D22" i="3"/>
  <c r="K25" i="3"/>
  <c r="I25" i="3"/>
  <c r="I15" i="3"/>
  <c r="K15" i="3"/>
  <c r="I20" i="3"/>
  <c r="K20" i="3"/>
  <c r="I13" i="3"/>
  <c r="K13" i="3"/>
  <c r="D29" i="3"/>
  <c r="D12" i="3"/>
  <c r="D25" i="3"/>
  <c r="I16" i="3"/>
  <c r="K16" i="3"/>
  <c r="D44" i="3"/>
  <c r="D43" i="3"/>
  <c r="G7" i="3"/>
  <c r="B22" i="3"/>
  <c r="C22" i="3"/>
  <c r="D40" i="3"/>
  <c r="I19" i="3"/>
  <c r="K19" i="3"/>
  <c r="I21" i="3"/>
  <c r="K21" i="3"/>
  <c r="I8" i="3"/>
  <c r="K8" i="3"/>
  <c r="K18" i="3"/>
  <c r="I18" i="3"/>
  <c r="I27" i="3"/>
  <c r="K27" i="3"/>
  <c r="I10" i="3"/>
  <c r="K10" i="3"/>
  <c r="D7" i="4"/>
  <c r="E7" i="4"/>
  <c r="B7" i="3"/>
  <c r="C7" i="3"/>
  <c r="I14" i="3"/>
  <c r="K14" i="3"/>
  <c r="K9" i="3"/>
  <c r="I9" i="3"/>
  <c r="B34" i="3"/>
  <c r="C34" i="3"/>
  <c r="D34" i="3"/>
  <c r="B8" i="3"/>
  <c r="C8" i="3"/>
  <c r="D8" i="3"/>
  <c r="D23" i="3"/>
  <c r="B21" i="3"/>
  <c r="C21" i="3"/>
  <c r="D21" i="3"/>
  <c r="D42" i="3"/>
  <c r="B11" i="3"/>
  <c r="C11" i="3"/>
  <c r="D11" i="3"/>
  <c r="B24" i="3"/>
  <c r="C24" i="3"/>
  <c r="I12" i="3"/>
  <c r="K12" i="3"/>
  <c r="B35" i="3"/>
  <c r="C35" i="3"/>
  <c r="D35" i="3"/>
  <c r="B15" i="3"/>
  <c r="C15" i="3"/>
  <c r="D15" i="3"/>
  <c r="B42" i="3"/>
  <c r="C42" i="3"/>
  <c r="B23" i="3"/>
  <c r="C23" i="3"/>
  <c r="B43" i="3"/>
  <c r="C43" i="3"/>
  <c r="D13" i="3"/>
  <c r="K22" i="3"/>
  <c r="I22" i="3"/>
  <c r="I23" i="3"/>
  <c r="K23" i="3"/>
  <c r="B39" i="3"/>
  <c r="C39" i="3"/>
  <c r="D39" i="3"/>
  <c r="D9" i="3"/>
  <c r="B7" i="4"/>
  <c r="C7" i="4"/>
  <c r="B26" i="3"/>
  <c r="C26" i="3"/>
  <c r="D26" i="3"/>
  <c r="B32" i="3"/>
  <c r="C32" i="3"/>
  <c r="D32" i="3"/>
  <c r="D31" i="3"/>
  <c r="B19" i="3"/>
  <c r="C19" i="3"/>
  <c r="D19" i="3"/>
  <c r="B37" i="3"/>
  <c r="C37" i="3"/>
  <c r="D37" i="3"/>
  <c r="B36" i="3"/>
  <c r="C36" i="3"/>
  <c r="D36" i="3"/>
  <c r="B28" i="3"/>
  <c r="C28" i="3"/>
  <c r="D28" i="3"/>
  <c r="K7" i="4"/>
  <c r="L1" i="3"/>
  <c r="O1" i="3"/>
  <c r="B29" i="3"/>
  <c r="C29" i="3"/>
  <c r="B10" i="3"/>
  <c r="C10" i="3"/>
  <c r="D10" i="3"/>
  <c r="B38" i="3"/>
  <c r="C38" i="3"/>
  <c r="D38" i="3"/>
  <c r="B14" i="3"/>
  <c r="C14" i="3"/>
  <c r="B45" i="3"/>
  <c r="C45" i="3"/>
  <c r="D45" i="3"/>
  <c r="B33" i="3"/>
  <c r="C33" i="3"/>
  <c r="D33" i="3"/>
  <c r="B46" i="3"/>
  <c r="C46" i="3"/>
  <c r="D46" i="3"/>
  <c r="B18" i="3"/>
  <c r="C18" i="3"/>
  <c r="D18" i="3"/>
  <c r="B30" i="3"/>
  <c r="C30" i="3"/>
  <c r="D30" i="3"/>
  <c r="B27" i="3"/>
  <c r="C27" i="3"/>
  <c r="D27" i="3"/>
  <c r="B20" i="3"/>
  <c r="C20" i="3"/>
  <c r="D20" i="3"/>
  <c r="B44" i="3"/>
  <c r="C44" i="3"/>
  <c r="B41" i="3"/>
  <c r="C41" i="3"/>
  <c r="D41" i="3"/>
  <c r="B9" i="3"/>
  <c r="C9" i="3"/>
  <c r="B13" i="3"/>
  <c r="C13" i="3"/>
  <c r="D17" i="3"/>
  <c r="B17" i="3"/>
  <c r="C17" i="3"/>
  <c r="B16" i="3"/>
  <c r="C16" i="3"/>
  <c r="D16" i="3"/>
  <c r="B31" i="3"/>
  <c r="C31" i="3"/>
  <c r="B12" i="3"/>
  <c r="C12" i="3"/>
  <c r="B25" i="3"/>
  <c r="C25" i="3"/>
  <c r="A7" i="4"/>
  <c r="B40" i="3"/>
  <c r="C40" i="3"/>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author>
  </authors>
  <commentList>
    <comment ref="G4" authorId="0" shapeId="0">
      <text>
        <r>
          <rPr>
            <b/>
            <sz val="8"/>
            <color indexed="81"/>
            <rFont val="Tahoma"/>
            <family val="2"/>
            <charset val="204"/>
          </rPr>
          <t>ten:</t>
        </r>
        <r>
          <rPr>
            <sz val="8"/>
            <color indexed="81"/>
            <rFont val="Tahoma"/>
            <family val="2"/>
            <charset val="204"/>
          </rPr>
          <t xml:space="preserve">
In the Even Search Method the following inequality is obey:
h&lt;=Tolerance.</t>
        </r>
      </text>
    </comment>
  </commentList>
</comments>
</file>

<file path=xl/comments3.xml><?xml version="1.0" encoding="utf-8"?>
<comments xmlns="http://schemas.openxmlformats.org/spreadsheetml/2006/main">
  <authors>
    <author>Administrator</author>
    <author>tenig</author>
  </authors>
  <commentList>
    <comment ref="A1" authorId="0" shapeId="0">
      <text>
        <r>
          <rPr>
            <b/>
            <sz val="9"/>
            <color indexed="81"/>
            <rFont val="Tahoma"/>
            <family val="2"/>
            <charset val="204"/>
          </rPr>
          <t>Administrator:</t>
        </r>
        <r>
          <rPr>
            <sz val="9"/>
            <color indexed="81"/>
            <rFont val="Tahoma"/>
            <family val="2"/>
            <charset val="204"/>
          </rPr>
          <t xml:space="preserve">
User's Guide:
1) Single clicking to button "</t>
        </r>
        <r>
          <rPr>
            <b/>
            <i/>
            <sz val="9"/>
            <color indexed="81"/>
            <rFont val="Tahoma"/>
            <family val="2"/>
            <charset val="204"/>
          </rPr>
          <t>Automatic scanning of the  SIGMA values with automatic composing of a conclusion and measuring the elapsed time</t>
        </r>
        <r>
          <rPr>
            <sz val="9"/>
            <color indexed="81"/>
            <rFont val="Tahoma"/>
            <family val="2"/>
            <charset val="204"/>
          </rPr>
          <t>" forces the program into carry out scanning sigma values range from 1.00 to 2.00 by step size equal 0.05 and prepare the report in Russian and English;
2) To see the codes of program "Alt+F8".</t>
        </r>
      </text>
    </comment>
    <comment ref="L1" authorId="1" shapeId="0">
      <text>
        <r>
          <rPr>
            <b/>
            <sz val="9"/>
            <color indexed="81"/>
            <rFont val="Tahoma"/>
            <family val="2"/>
          </rPr>
          <t>tenig:</t>
        </r>
        <r>
          <rPr>
            <sz val="9"/>
            <color indexed="81"/>
            <rFont val="Tahoma"/>
            <family val="2"/>
          </rPr>
          <t xml:space="preserve">
It's "Amount of iteration" from the cell Sheet4!K7.</t>
        </r>
      </text>
    </comment>
  </commentList>
</comments>
</file>

<file path=xl/comments4.xml><?xml version="1.0" encoding="utf-8"?>
<comments xmlns="http://schemas.openxmlformats.org/spreadsheetml/2006/main">
  <authors>
    <author>ten_IG</author>
    <author>Администратор</author>
  </authors>
  <commentLis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 ref="K6" authorId="1" shapeId="0">
      <text>
        <r>
          <rPr>
            <b/>
            <sz val="8"/>
            <color indexed="81"/>
            <rFont val="Tahoma"/>
            <family val="2"/>
            <charset val="204"/>
          </rPr>
          <t>tenig:
The Even search method have property 
Step size&lt;= Tolerence.</t>
        </r>
      </text>
    </comment>
    <comment ref="J15" authorId="1" shapeId="0">
      <text>
        <r>
          <rPr>
            <b/>
            <sz val="8"/>
            <color indexed="81"/>
            <rFont val="Tahoma"/>
            <family val="2"/>
            <charset val="204"/>
          </rPr>
          <t>tenig:
The Even search method have property 
Step size&lt;= Tolerence.</t>
        </r>
      </text>
    </comment>
  </commentList>
</comments>
</file>

<file path=xl/comments5.xml><?xml version="1.0" encoding="utf-8"?>
<comments xmlns="http://schemas.openxmlformats.org/spreadsheetml/2006/main">
  <authors>
    <author>Администратор</author>
  </authors>
  <commentList>
    <comment ref="J12" authorId="0" shapeId="0">
      <text>
        <r>
          <rPr>
            <b/>
            <sz val="8"/>
            <color indexed="81"/>
            <rFont val="Tahoma"/>
            <family val="2"/>
            <charset val="204"/>
          </rPr>
          <t>tenig:
The Even search method have property 
Step size&lt;= Tolerence.</t>
        </r>
      </text>
    </comment>
    <comment ref="J60" authorId="0" shapeId="0">
      <text>
        <r>
          <rPr>
            <b/>
            <sz val="8"/>
            <color indexed="81"/>
            <rFont val="Tahoma"/>
            <family val="2"/>
            <charset val="204"/>
          </rPr>
          <t>tenig:
The Even search method have property 
Step size&lt;= Tolerence.</t>
        </r>
      </text>
    </comment>
  </commentList>
</comments>
</file>

<file path=xl/sharedStrings.xml><?xml version="1.0" encoding="utf-8"?>
<sst xmlns="http://schemas.openxmlformats.org/spreadsheetml/2006/main" count="129" uniqueCount="91">
  <si>
    <t>Price</t>
  </si>
  <si>
    <t>Demand</t>
  </si>
  <si>
    <t>Profit</t>
  </si>
  <si>
    <t>Optimum Price</t>
  </si>
  <si>
    <t>Optimum Demand</t>
  </si>
  <si>
    <t>Optimum Profit</t>
  </si>
  <si>
    <t>Optimum Credit</t>
  </si>
  <si>
    <t>Initial Price</t>
  </si>
  <si>
    <t>Cost</t>
  </si>
  <si>
    <t>Profit=Demand*(Price-Cost);  Demand=A/(Price+Price*B)^(2*D); Credit=Cost*Demand.</t>
  </si>
  <si>
    <t>Credit</t>
  </si>
  <si>
    <t>Process state</t>
  </si>
  <si>
    <t>Step size</t>
  </si>
  <si>
    <t>Tolerance</t>
  </si>
  <si>
    <t>Initial Price- Optimum Price</t>
  </si>
  <si>
    <t>Program start</t>
  </si>
  <si>
    <t>Choice step size</t>
  </si>
  <si>
    <r>
      <t xml:space="preserve">Laboratory works #_3: Investigate the </t>
    </r>
    <r>
      <rPr>
        <b/>
        <sz val="14"/>
        <rFont val="Arial"/>
        <family val="2"/>
        <charset val="204"/>
      </rPr>
      <t>Even search method</t>
    </r>
    <r>
      <rPr>
        <sz val="10"/>
        <rFont val="Arial"/>
        <family val="2"/>
        <charset val="204"/>
      </rPr>
      <t xml:space="preserve"> to solution of Problem #1</t>
    </r>
  </si>
  <si>
    <t>The Program implementation to Even search method</t>
  </si>
  <si>
    <t>Choice Initiale approximation</t>
  </si>
  <si>
    <t>Number of iteration</t>
  </si>
  <si>
    <t>Amount of iteration</t>
  </si>
  <si>
    <r>
      <t xml:space="preserve">Problem definition #_1: Find the maximum of Profit by the Price of market </t>
    </r>
    <r>
      <rPr>
        <b/>
        <sz val="10"/>
        <rFont val="Arial"/>
        <family val="2"/>
        <charset val="204"/>
      </rPr>
      <t>without</t>
    </r>
    <r>
      <rPr>
        <sz val="10"/>
        <rFont val="Arial"/>
        <family val="2"/>
        <charset val="204"/>
      </rPr>
      <t xml:space="preserve"> Constraints.</t>
    </r>
  </si>
  <si>
    <r>
      <t xml:space="preserve">Problem definition#_1: Find the maximum of Profit by the Price of market </t>
    </r>
    <r>
      <rPr>
        <b/>
        <sz val="10"/>
        <rFont val="Arial"/>
        <family val="2"/>
        <charset val="204"/>
      </rPr>
      <t>without</t>
    </r>
    <r>
      <rPr>
        <sz val="10"/>
        <rFont val="Arial"/>
        <family val="2"/>
        <charset val="204"/>
      </rPr>
      <t xml:space="preserve"> Constraints.</t>
    </r>
  </si>
  <si>
    <t>Initialize the Programe</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</si>
  <si>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</si>
  <si>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</si>
  <si>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</si>
  <si>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</si>
  <si>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</si>
  <si>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r>
      <t>h</t>
    </r>
    <r>
      <rPr>
        <b/>
        <vertAlign val="superscript"/>
        <sz val="10"/>
        <rFont val="Arial"/>
        <family val="2"/>
        <charset val="204"/>
      </rPr>
      <t>0</t>
    </r>
  </si>
  <si>
    <t>X*</t>
  </si>
  <si>
    <t xml:space="preserve">f(x)=[exp(x)-2-x]^2 </t>
  </si>
  <si>
    <t>alfa</t>
  </si>
  <si>
    <t>The task on laboratory work:</t>
  </si>
  <si>
    <t>(ii) These functions must be plotted in Figure 3.1 through Figure 3.2, respectively.</t>
  </si>
  <si>
    <t>(i) Investigate the Dependences of Amount of Iterations with Respect to Tolerance, Initial Approximately (Initial Price), respectively.</t>
  </si>
  <si>
    <t>No.</t>
  </si>
  <si>
    <t>Table 3.2: The Dependence of Amount of Iterations with Respect to Initial Approximation (or Step Size Value).</t>
  </si>
  <si>
    <t>Table 3.1: The Dependence of Amount of Iterations with Respect to Tolerance.</t>
  </si>
  <si>
    <t>(iii) Determine the Speed of Convergence SC and Assimptotic Error Constant A.</t>
  </si>
  <si>
    <t>sigma</t>
  </si>
  <si>
    <t>The tasks on laboratory work:</t>
  </si>
  <si>
    <t>(iii) Determine the Speed of Convergence "SC" and Asymptotic Error Constant "A".</t>
  </si>
  <si>
    <r>
      <t xml:space="preserve">Laboratory works #_3: Investigate the </t>
    </r>
    <r>
      <rPr>
        <b/>
        <sz val="14"/>
        <rFont val="Arial"/>
        <family val="2"/>
        <charset val="204"/>
      </rPr>
      <t>Even Search Method</t>
    </r>
    <r>
      <rPr>
        <sz val="10"/>
        <rFont val="Arial"/>
        <family val="2"/>
        <charset val="204"/>
      </rPr>
      <t xml:space="preserve"> to solution of Problem #1</t>
    </r>
  </si>
  <si>
    <t>Error: ek=abs(X*-Xk)</t>
  </si>
  <si>
    <r>
      <t>X</t>
    </r>
    <r>
      <rPr>
        <vertAlign val="subscript"/>
        <sz val="10"/>
        <rFont val="Arial"/>
        <family val="2"/>
        <charset val="204"/>
      </rPr>
      <t>k</t>
    </r>
    <r>
      <rPr>
        <sz val="10"/>
        <rFont val="Arial"/>
        <family val="2"/>
        <charset val="204"/>
      </rPr>
      <t>=Price(k)</t>
    </r>
  </si>
  <si>
    <t>Laboratory works #_3: Investigate as Error and Initial approximation have an influence on solution of Problem #1</t>
  </si>
  <si>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</si>
  <si>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</si>
  <si>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List of sigma</t>
  </si>
  <si>
    <t>Calculation of the Convergence Rate of the Even Search Method</t>
  </si>
  <si>
    <t>Table 4: The Dependence of Amount of Iterations with Respect to Tolerance and Initial Approximation (or Step Size Value).</t>
  </si>
  <si>
    <t>Table 3.3: Calculation of the Convergence Rate of the Even Search Method</t>
  </si>
  <si>
    <t>min</t>
  </si>
  <si>
    <t>№</t>
  </si>
  <si>
    <t>Parametr_A</t>
  </si>
  <si>
    <t>Parametr_B</t>
  </si>
  <si>
    <t>Parametr_D</t>
  </si>
  <si>
    <t>Limit of Credit Value</t>
  </si>
  <si>
    <r>
      <t>X*</t>
    </r>
    <r>
      <rPr>
        <vertAlign val="subscript"/>
        <sz val="8"/>
        <rFont val="Arial Cyr"/>
        <charset val="204"/>
      </rPr>
      <t>1</t>
    </r>
  </si>
  <si>
    <r>
      <t>X*</t>
    </r>
    <r>
      <rPr>
        <vertAlign val="subscript"/>
        <sz val="8"/>
        <rFont val="Arial Cyr"/>
        <charset val="204"/>
      </rPr>
      <t>2</t>
    </r>
  </si>
  <si>
    <t>h</t>
  </si>
  <si>
    <t>Exercise 3.1 Use  the Even Search method of optimization to  find the local minimum of given objective function</t>
  </si>
  <si>
    <t>Table 3.1 with the calculated data obtained by the Even Search method of optimization</t>
  </si>
  <si>
    <t>Table 3.2 of data to plot the objective function f(x)=[exp(x)-2-x]^2</t>
  </si>
  <si>
    <t xml:space="preserve">Conclusion is made automatically: Newton's method has  because the sequence {abs(X*-Xk+1)/abs(X*-Xk)^sigma} converge to Limit Value of Asymptotic Error Constant A =  only at SIGMA = </t>
  </si>
  <si>
    <t>f(x)–MIN</t>
  </si>
  <si>
    <t>Linear speed of convergence</t>
  </si>
  <si>
    <t>Superlinear Speed of convergence</t>
  </si>
  <si>
    <t>Quadratic Speed of convergence</t>
  </si>
  <si>
    <t>Conclusion (the text of the conclusion is composed automatically):  Even Search method has Linear speed of convergence because the sequence {abs(X*–Xk+1)/abs(X*–Xk)^sigma} convergeto Limit Value of Asymptotic Error Constant A = 0.999635951301027 only at SIGMA = 1</t>
  </si>
  <si>
    <t>Заключение (текст заключения составляется автоматически):  Метод равномерного поиска имеет Linear speed of convergence потому что последоваетльность {abs(X*–Xk+1)/abs(X*–Xk)^sigma} сходится к ПРЕДЕЛЬНОМУ ЗНАЧЕНИЮ ПОСТОЯННОЙ АСИМПТОТИЧЕСКОЙ ОШИБКИ A = 0.999635951301027 только при SIGMA = 1</t>
  </si>
  <si>
    <t>Elapsed time is: 1.15740767796524 in seconds</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</si>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</sst>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00E+00"/>
    <numFmt numFmtId="165" formatCode="0.0000"/>
    <numFmt numFmtId="166" formatCode="0.0000E+00"/>
    <numFmt numFmtId="167" formatCode="#,##0.000000"/>
    <numFmt numFmtId="168" formatCode="0.00000"/>
  </numFmts>
  <fonts count="35" x14ac:knownFonts="1">
    <font>
      <sz val="10"/>
      <name val="Arial"/>
      <charset val="204"/>
    </font>
    <font>
      <b/>
      <sz val="10"/>
      <name val="Arial"/>
      <family val="2"/>
    </font>
    <font>
      <sz val="10"/>
      <name val="Arial"/>
      <family val="2"/>
    </font>
    <font>
      <b/>
      <sz val="10"/>
      <name val="Arial"/>
      <family val="2"/>
      <charset val="204"/>
    </font>
    <font>
      <sz val="8"/>
      <name val="Arial"/>
      <family val="2"/>
      <charset val="204"/>
    </font>
    <font>
      <b/>
      <sz val="12"/>
      <name val="Arial Cyr"/>
      <charset val="204"/>
    </font>
    <font>
      <sz val="10"/>
      <name val="Arial Cyr"/>
      <charset val="204"/>
    </font>
    <font>
      <b/>
      <sz val="8"/>
      <color indexed="81"/>
      <name val="Tahoma"/>
      <family val="2"/>
      <charset val="204"/>
    </font>
    <font>
      <sz val="8"/>
      <color indexed="81"/>
      <name val="Tahoma"/>
      <family val="2"/>
      <charset val="204"/>
    </font>
    <font>
      <b/>
      <sz val="14"/>
      <name val="Arial"/>
      <family val="2"/>
      <charset val="204"/>
    </font>
    <font>
      <sz val="8"/>
      <name val="Arial Cyr"/>
      <charset val="204"/>
    </font>
    <font>
      <b/>
      <vertAlign val="superscript"/>
      <sz val="10"/>
      <name val="Arial"/>
      <family val="2"/>
      <charset val="204"/>
    </font>
    <font>
      <b/>
      <sz val="10"/>
      <name val="Arial"/>
      <family val="2"/>
      <charset val="204"/>
    </font>
    <font>
      <b/>
      <sz val="8"/>
      <name val="Arial Cyr"/>
      <charset val="204"/>
    </font>
    <font>
      <b/>
      <sz val="8"/>
      <name val="Arial"/>
      <family val="2"/>
    </font>
    <font>
      <b/>
      <sz val="10"/>
      <name val="Arial Cyr"/>
      <charset val="204"/>
    </font>
    <font>
      <b/>
      <sz val="12"/>
      <name val="Times New Roman"/>
      <family val="1"/>
      <charset val="204"/>
    </font>
    <font>
      <b/>
      <sz val="10"/>
      <name val="Times New Roman"/>
      <family val="1"/>
      <charset val="204"/>
    </font>
    <font>
      <b/>
      <vertAlign val="superscript"/>
      <sz val="10"/>
      <name val="Arial Cyr"/>
      <charset val="204"/>
    </font>
    <font>
      <b/>
      <vertAlign val="subscript"/>
      <sz val="10"/>
      <name val="Arial Cyr"/>
      <charset val="204"/>
    </font>
    <font>
      <vertAlign val="subscript"/>
      <sz val="10"/>
      <name val="Arial"/>
      <family val="2"/>
      <charset val="204"/>
    </font>
    <font>
      <sz val="10"/>
      <name val="Times New Roman"/>
      <family val="1"/>
      <charset val="204"/>
    </font>
    <font>
      <vertAlign val="subscript"/>
      <sz val="8"/>
      <name val="Arial Cyr"/>
      <charset val="204"/>
    </font>
    <font>
      <sz val="10"/>
      <name val="Arial"/>
      <family val="2"/>
      <charset val="204"/>
    </font>
    <font>
      <sz val="10"/>
      <color theme="0" tint="-0.14999847407452621"/>
      <name val="Arial"/>
      <family val="2"/>
    </font>
    <font>
      <sz val="9"/>
      <color indexed="81"/>
      <name val="Tahoma"/>
      <family val="2"/>
    </font>
    <font>
      <b/>
      <sz val="9"/>
      <color indexed="81"/>
      <name val="Tahoma"/>
      <family val="2"/>
    </font>
    <font>
      <sz val="14"/>
      <name val="Arial"/>
      <family val="2"/>
    </font>
    <font>
      <sz val="12"/>
      <name val="Arial"/>
      <family val="2"/>
    </font>
    <font>
      <sz val="12"/>
      <name val="Arial"/>
      <family val="2"/>
      <charset val="204"/>
    </font>
    <font>
      <b/>
      <sz val="9"/>
      <color indexed="81"/>
      <name val="Tahoma"/>
      <family val="2"/>
      <charset val="204"/>
    </font>
    <font>
      <sz val="9"/>
      <color indexed="81"/>
      <name val="Tahoma"/>
      <family val="2"/>
      <charset val="204"/>
    </font>
    <font>
      <b/>
      <i/>
      <sz val="9"/>
      <color indexed="81"/>
      <name val="Tahoma"/>
      <family val="2"/>
      <charset val="204"/>
    </font>
    <font>
      <sz val="9"/>
      <name val="Arial Rounded MT Bold"/>
      <family val="2"/>
    </font>
    <font>
      <sz val="10"/>
      <color rgb="FF000000"/>
      <name val="Arial"/>
      <family val="2"/>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rgb="FF00B05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138">
    <xf numFmtId="0" fontId="0" fillId="0" borderId="0" xfId="0"/>
    <xf numFmtId="0" fontId="1" fillId="0" borderId="1" xfId="0" applyFont="1" applyBorder="1"/>
    <xf numFmtId="0" fontId="0" fillId="0" borderId="1" xfId="0" applyBorder="1"/>
    <xf numFmtId="11" fontId="0" fillId="0" borderId="1" xfId="0" applyNumberFormat="1" applyBorder="1"/>
    <xf numFmtId="0" fontId="0" fillId="0" borderId="1" xfId="0" applyBorder="1" applyProtection="1">
      <protection locked="0"/>
    </xf>
    <xf numFmtId="0" fontId="0" fillId="0" borderId="2" xfId="0" applyBorder="1" applyAlignment="1">
      <alignment wrapText="1"/>
    </xf>
    <xf numFmtId="0" fontId="0" fillId="0" borderId="3" xfId="0" applyBorder="1" applyAlignment="1">
      <alignment wrapText="1"/>
    </xf>
    <xf numFmtId="0" fontId="5" fillId="0" borderId="0" xfId="0" applyFont="1"/>
    <xf numFmtId="0" fontId="0" fillId="0" borderId="0" xfId="0" applyProtection="1">
      <protection locked="0"/>
    </xf>
    <xf numFmtId="0" fontId="0" fillId="0" borderId="4" xfId="0" applyBorder="1" applyProtection="1">
      <protection locked="0"/>
    </xf>
    <xf numFmtId="0" fontId="0" fillId="0" borderId="5" xfId="0" applyBorder="1" applyProtection="1">
      <protection locked="0"/>
    </xf>
    <xf numFmtId="0" fontId="0" fillId="0" borderId="7" xfId="0" applyBorder="1" applyAlignment="1" applyProtection="1">
      <protection locked="0"/>
    </xf>
    <xf numFmtId="165" fontId="0" fillId="0" borderId="8" xfId="0" applyNumberFormat="1" applyBorder="1" applyAlignment="1" applyProtection="1">
      <protection locked="0"/>
    </xf>
    <xf numFmtId="165" fontId="6" fillId="2" borderId="8" xfId="0" applyNumberFormat="1" applyFont="1" applyFill="1" applyBorder="1" applyAlignment="1" applyProtection="1">
      <alignment wrapText="1"/>
      <protection locked="0"/>
    </xf>
    <xf numFmtId="165" fontId="0" fillId="2" borderId="8" xfId="0" applyNumberFormat="1" applyFill="1" applyBorder="1" applyAlignment="1" applyProtection="1">
      <protection locked="0"/>
    </xf>
    <xf numFmtId="166" fontId="0" fillId="2" borderId="8" xfId="0" applyNumberFormat="1" applyFill="1" applyBorder="1" applyAlignment="1" applyProtection="1">
      <protection locked="0"/>
    </xf>
    <xf numFmtId="0" fontId="0" fillId="0" borderId="10" xfId="0" applyBorder="1" applyProtection="1">
      <protection locked="0"/>
    </xf>
    <xf numFmtId="0" fontId="0" fillId="0" borderId="2" xfId="0" applyBorder="1" applyProtection="1">
      <protection locked="0"/>
    </xf>
    <xf numFmtId="0" fontId="0" fillId="0" borderId="11" xfId="0" applyBorder="1" applyProtection="1">
      <protection locked="0"/>
    </xf>
    <xf numFmtId="0" fontId="0" fillId="0" borderId="3" xfId="0" applyBorder="1" applyProtection="1">
      <protection locked="0"/>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16" xfId="0" applyBorder="1" applyProtection="1">
      <protection locked="0"/>
    </xf>
    <xf numFmtId="0" fontId="3" fillId="0" borderId="0" xfId="0" applyFont="1"/>
    <xf numFmtId="0" fontId="3" fillId="0" borderId="8" xfId="0" applyFont="1" applyBorder="1" applyAlignment="1">
      <alignment horizontal="center" vertical="center"/>
    </xf>
    <xf numFmtId="0" fontId="0" fillId="0" borderId="3" xfId="0" applyFill="1" applyBorder="1"/>
    <xf numFmtId="0" fontId="0" fillId="0" borderId="12" xfId="0" applyBorder="1"/>
    <xf numFmtId="2" fontId="4" fillId="0" borderId="1" xfId="0" applyNumberFormat="1" applyFont="1" applyBorder="1"/>
    <xf numFmtId="0" fontId="0" fillId="0" borderId="13" xfId="0" applyFill="1" applyBorder="1"/>
    <xf numFmtId="0" fontId="0" fillId="0" borderId="14" xfId="0" applyBorder="1"/>
    <xf numFmtId="0" fontId="0" fillId="0" borderId="15" xfId="0" applyBorder="1"/>
    <xf numFmtId="0" fontId="0" fillId="0" borderId="16" xfId="0" applyFill="1" applyBorder="1"/>
    <xf numFmtId="1" fontId="0" fillId="0" borderId="11" xfId="0" applyNumberFormat="1" applyBorder="1" applyProtection="1">
      <protection locked="0"/>
    </xf>
    <xf numFmtId="0" fontId="0" fillId="0" borderId="18" xfId="0" applyBorder="1" applyProtection="1">
      <protection locked="0"/>
    </xf>
    <xf numFmtId="1" fontId="0" fillId="0" borderId="10" xfId="0" applyNumberFormat="1" applyBorder="1" applyProtection="1">
      <protection locked="0"/>
    </xf>
    <xf numFmtId="0" fontId="0" fillId="0" borderId="19" xfId="0" applyBorder="1" applyProtection="1">
      <protection locked="0"/>
    </xf>
    <xf numFmtId="0" fontId="1" fillId="0" borderId="9" xfId="0" applyFont="1" applyBorder="1" applyAlignment="1">
      <alignment wrapText="1"/>
    </xf>
    <xf numFmtId="0" fontId="1" fillId="0" borderId="6" xfId="0" applyFont="1" applyBorder="1" applyAlignment="1">
      <alignment wrapText="1"/>
    </xf>
    <xf numFmtId="0" fontId="15" fillId="0" borderId="6" xfId="0" applyFont="1" applyBorder="1" applyAlignment="1">
      <alignment wrapText="1"/>
    </xf>
    <xf numFmtId="0" fontId="15" fillId="0" borderId="20" xfId="0" applyFont="1" applyBorder="1"/>
    <xf numFmtId="1" fontId="0" fillId="0" borderId="1" xfId="0" applyNumberFormat="1" applyBorder="1" applyProtection="1">
      <protection locked="0"/>
    </xf>
    <xf numFmtId="0" fontId="0" fillId="0" borderId="0" xfId="0" applyBorder="1" applyProtection="1">
      <protection locked="0"/>
    </xf>
    <xf numFmtId="1" fontId="0" fillId="0" borderId="15" xfId="0" applyNumberFormat="1" applyBorder="1" applyProtection="1">
      <protection locked="0"/>
    </xf>
    <xf numFmtId="0" fontId="0" fillId="0" borderId="21" xfId="0" applyBorder="1" applyProtection="1">
      <protection locked="0"/>
    </xf>
    <xf numFmtId="1" fontId="0" fillId="0" borderId="21" xfId="0" applyNumberFormat="1" applyBorder="1" applyProtection="1">
      <protection locked="0"/>
    </xf>
    <xf numFmtId="166" fontId="0" fillId="3" borderId="8" xfId="0" applyNumberFormat="1" applyFill="1" applyBorder="1" applyAlignment="1" applyProtection="1">
      <protection locked="0"/>
    </xf>
    <xf numFmtId="0" fontId="16" fillId="0" borderId="0" xfId="0" applyFont="1"/>
    <xf numFmtId="0" fontId="17" fillId="0" borderId="0" xfId="0" applyFont="1"/>
    <xf numFmtId="0" fontId="0" fillId="0" borderId="13" xfId="0" applyBorder="1"/>
    <xf numFmtId="0" fontId="0" fillId="0" borderId="16" xfId="0" applyBorder="1"/>
    <xf numFmtId="0" fontId="3" fillId="0" borderId="24" xfId="0" applyFont="1" applyBorder="1" applyAlignment="1">
      <alignment horizontal="center"/>
    </xf>
    <xf numFmtId="0" fontId="15" fillId="3" borderId="8" xfId="0" applyFont="1" applyFill="1" applyBorder="1" applyAlignment="1">
      <alignment horizontal="center"/>
    </xf>
    <xf numFmtId="0" fontId="3" fillId="0" borderId="17" xfId="0" applyFont="1" applyBorder="1" applyAlignment="1">
      <alignment horizontal="center"/>
    </xf>
    <xf numFmtId="0" fontId="0" fillId="0" borderId="18" xfId="0" applyBorder="1"/>
    <xf numFmtId="0" fontId="0" fillId="0" borderId="10" xfId="0" applyBorder="1"/>
    <xf numFmtId="0" fontId="0" fillId="4" borderId="19" xfId="0" applyFill="1" applyBorder="1"/>
    <xf numFmtId="0" fontId="15" fillId="3" borderId="7" xfId="0" applyFont="1" applyFill="1" applyBorder="1" applyAlignment="1">
      <alignment horizontal="center"/>
    </xf>
    <xf numFmtId="0" fontId="0" fillId="0" borderId="25" xfId="0" applyBorder="1"/>
    <xf numFmtId="0" fontId="15" fillId="3" borderId="23" xfId="0" applyFont="1" applyFill="1" applyBorder="1" applyAlignment="1">
      <alignment horizontal="center"/>
    </xf>
    <xf numFmtId="0" fontId="21" fillId="0" borderId="0" xfId="0" applyFont="1"/>
    <xf numFmtId="0" fontId="3" fillId="0" borderId="12" xfId="0" applyFont="1" applyFill="1" applyBorder="1" applyAlignment="1">
      <alignment horizontal="center"/>
    </xf>
    <xf numFmtId="0" fontId="14" fillId="3" borderId="1" xfId="0" applyFont="1" applyFill="1" applyBorder="1"/>
    <xf numFmtId="11" fontId="14" fillId="3" borderId="1" xfId="0" applyNumberFormat="1" applyFont="1" applyFill="1" applyBorder="1"/>
    <xf numFmtId="0" fontId="10" fillId="3" borderId="1" xfId="0" applyFont="1" applyFill="1" applyBorder="1"/>
    <xf numFmtId="0" fontId="10" fillId="3" borderId="1" xfId="0" applyFont="1" applyFill="1" applyBorder="1" applyAlignment="1">
      <alignment horizontal="center"/>
    </xf>
    <xf numFmtId="167" fontId="10" fillId="3" borderId="1" xfId="0" applyNumberFormat="1" applyFont="1" applyFill="1" applyBorder="1" applyProtection="1">
      <protection hidden="1"/>
    </xf>
    <xf numFmtId="164" fontId="0" fillId="3" borderId="1" xfId="0" applyNumberFormat="1" applyFill="1" applyBorder="1" applyProtection="1">
      <protection hidden="1"/>
    </xf>
    <xf numFmtId="0" fontId="0" fillId="3" borderId="1" xfId="0" applyFill="1" applyBorder="1" applyProtection="1">
      <protection hidden="1"/>
    </xf>
    <xf numFmtId="167" fontId="6" fillId="0" borderId="1" xfId="0" applyNumberFormat="1" applyFont="1" applyFill="1" applyBorder="1" applyProtection="1">
      <protection hidden="1"/>
    </xf>
    <xf numFmtId="164" fontId="6" fillId="0" borderId="1" xfId="0" applyNumberFormat="1" applyFont="1" applyFill="1" applyBorder="1" applyProtection="1">
      <protection hidden="1"/>
    </xf>
    <xf numFmtId="0" fontId="0" fillId="0" borderId="1" xfId="0" applyBorder="1" applyProtection="1">
      <protection hidden="1"/>
    </xf>
    <xf numFmtId="0" fontId="3" fillId="0" borderId="7" xfId="0" applyFont="1" applyBorder="1" applyAlignment="1">
      <alignment horizontal="center" vertical="center"/>
    </xf>
    <xf numFmtId="0" fontId="3" fillId="0" borderId="22" xfId="0" applyFont="1" applyFill="1" applyBorder="1" applyAlignment="1">
      <alignment horizontal="center" vertical="center"/>
    </xf>
    <xf numFmtId="0" fontId="4" fillId="0" borderId="0" xfId="0" applyFont="1"/>
    <xf numFmtId="0" fontId="0" fillId="2" borderId="22" xfId="0" applyFill="1" applyBorder="1" applyProtection="1">
      <protection locked="0"/>
    </xf>
    <xf numFmtId="0" fontId="6" fillId="0" borderId="7" xfId="0" applyFont="1" applyBorder="1" applyAlignment="1">
      <alignment wrapText="1"/>
    </xf>
    <xf numFmtId="0" fontId="6" fillId="0" borderId="8" xfId="0" applyFont="1" applyBorder="1" applyAlignment="1">
      <alignment wrapText="1"/>
    </xf>
    <xf numFmtId="0" fontId="2" fillId="0" borderId="8" xfId="0" applyFont="1" applyBorder="1" applyAlignment="1">
      <alignment wrapText="1"/>
    </xf>
    <xf numFmtId="0" fontId="6" fillId="0" borderId="22" xfId="0" applyFont="1" applyBorder="1" applyAlignment="1">
      <alignment wrapText="1"/>
    </xf>
    <xf numFmtId="0" fontId="0" fillId="5" borderId="34" xfId="0" applyFill="1" applyBorder="1"/>
    <xf numFmtId="0" fontId="0" fillId="0" borderId="1" xfId="0" applyBorder="1" applyAlignment="1">
      <alignment vertical="center"/>
    </xf>
    <xf numFmtId="0" fontId="15" fillId="0" borderId="7" xfId="0" applyFont="1" applyFill="1" applyBorder="1" applyAlignment="1">
      <alignment horizontal="center"/>
    </xf>
    <xf numFmtId="0" fontId="15" fillId="0" borderId="8" xfId="0" applyFont="1" applyFill="1" applyBorder="1" applyAlignment="1">
      <alignment horizontal="center"/>
    </xf>
    <xf numFmtId="0" fontId="15" fillId="3" borderId="22" xfId="0" applyFont="1" applyFill="1" applyBorder="1" applyAlignment="1">
      <alignment horizontal="center"/>
    </xf>
    <xf numFmtId="0" fontId="0" fillId="0" borderId="34" xfId="0" applyBorder="1"/>
    <xf numFmtId="0" fontId="15" fillId="3" borderId="22" xfId="0" applyFont="1" applyFill="1" applyBorder="1" applyAlignment="1">
      <alignment horizontal="center" wrapText="1"/>
    </xf>
    <xf numFmtId="0" fontId="0" fillId="0" borderId="35" xfId="0" applyBorder="1"/>
    <xf numFmtId="0" fontId="0" fillId="0" borderId="36" xfId="0" applyBorder="1"/>
    <xf numFmtId="0" fontId="0" fillId="0" borderId="37" xfId="0" applyBorder="1"/>
    <xf numFmtId="0" fontId="24" fillId="0" borderId="0" xfId="0" applyFont="1"/>
    <xf numFmtId="0" fontId="28" fillId="0" borderId="0" xfId="0" applyFont="1" applyBorder="1" applyAlignment="1">
      <alignment vertical="center" wrapText="1"/>
    </xf>
    <xf numFmtId="0" fontId="3" fillId="0" borderId="2" xfId="0" applyFont="1" applyFill="1" applyBorder="1" applyAlignment="1">
      <alignment horizontal="center"/>
    </xf>
    <xf numFmtId="0" fontId="3" fillId="0" borderId="14" xfId="0" applyFont="1" applyFill="1" applyBorder="1" applyAlignment="1">
      <alignment horizontal="center"/>
    </xf>
    <xf numFmtId="0" fontId="29" fillId="0" borderId="0" xfId="0" applyFont="1" applyAlignment="1">
      <alignment vertical="center"/>
    </xf>
    <xf numFmtId="0" fontId="33" fillId="0" borderId="0" xfId="0" applyFont="1"/>
    <xf numFmtId="168" fontId="3" fillId="5" borderId="1" xfId="0" applyNumberFormat="1" applyFont="1" applyFill="1" applyBorder="1"/>
    <xf numFmtId="0" fontId="33" fillId="5" borderId="1" xfId="0" applyFont="1" applyFill="1" applyBorder="1"/>
    <xf numFmtId="0" fontId="0" fillId="5" borderId="1" xfId="0" applyFill="1" applyBorder="1"/>
    <xf numFmtId="0" fontId="0" fillId="0" borderId="1" xfId="0" applyFill="1" applyBorder="1"/>
    <xf numFmtId="2" fontId="4" fillId="0" borderId="10" xfId="0" applyNumberFormat="1" applyFont="1" applyBorder="1"/>
    <xf numFmtId="0" fontId="0" fillId="0" borderId="10" xfId="0" applyFill="1" applyBorder="1"/>
    <xf numFmtId="0" fontId="3" fillId="0" borderId="1" xfId="0" applyFont="1" applyBorder="1" applyAlignment="1">
      <alignment horizontal="center" vertical="center"/>
    </xf>
    <xf numFmtId="0" fontId="12" fillId="0" borderId="1" xfId="0" applyFont="1" applyBorder="1" applyAlignment="1">
      <alignment wrapText="1"/>
    </xf>
    <xf numFmtId="0" fontId="0" fillId="3" borderId="1" xfId="0" applyFill="1" applyBorder="1" applyAlignment="1" applyProtection="1">
      <alignment horizontal="center" vertical="center"/>
    </xf>
    <xf numFmtId="0" fontId="3" fillId="3" borderId="1" xfId="0" applyFont="1" applyFill="1" applyBorder="1" applyAlignment="1">
      <alignment horizontal="center" vertical="center"/>
    </xf>
    <xf numFmtId="0" fontId="0" fillId="0" borderId="1" xfId="0" applyBorder="1" applyAlignment="1">
      <alignment horizontal="center"/>
    </xf>
    <xf numFmtId="0" fontId="1" fillId="0" borderId="0" xfId="0" applyFont="1"/>
    <xf numFmtId="0" fontId="13" fillId="0" borderId="9"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20"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7" fontId="6" fillId="6" borderId="1" xfId="0" applyNumberFormat="1" applyFont="1" applyFill="1" applyBorder="1" applyProtection="1">
      <protection hidden="1"/>
    </xf>
    <xf numFmtId="164" fontId="6" fillId="6" borderId="1" xfId="0" applyNumberFormat="1" applyFont="1" applyFill="1" applyBorder="1" applyProtection="1">
      <protection hidden="1"/>
    </xf>
    <xf numFmtId="0" fontId="0" fillId="6" borderId="1" xfId="0" applyFill="1" applyBorder="1" applyProtection="1">
      <protection hidden="1"/>
    </xf>
    <xf numFmtId="0" fontId="23" fillId="0" borderId="0" xfId="0" applyFont="1" applyAlignment="1">
      <alignment horizontal="center" wrapText="1"/>
    </xf>
    <xf numFmtId="0" fontId="4" fillId="0" borderId="0" xfId="0" applyFont="1" applyBorder="1" applyAlignment="1">
      <alignment horizontal="center" wrapText="1"/>
    </xf>
    <xf numFmtId="0" fontId="27" fillId="0" borderId="2" xfId="0" applyFont="1" applyBorder="1" applyAlignment="1" applyProtection="1">
      <alignment horizontal="center" wrapText="1"/>
      <protection locked="0"/>
    </xf>
    <xf numFmtId="0" fontId="27" fillId="0" borderId="11" xfId="0" applyFont="1" applyBorder="1" applyAlignment="1" applyProtection="1">
      <alignment horizontal="center" wrapText="1"/>
      <protection locked="0"/>
    </xf>
    <xf numFmtId="0" fontId="27" fillId="0" borderId="3" xfId="0" applyFont="1" applyBorder="1" applyAlignment="1" applyProtection="1">
      <alignment horizontal="center" wrapText="1"/>
      <protection locked="0"/>
    </xf>
    <xf numFmtId="0" fontId="27" fillId="0" borderId="12" xfId="0" applyFont="1" applyBorder="1" applyAlignment="1" applyProtection="1">
      <alignment horizontal="center" wrapText="1"/>
      <protection locked="0"/>
    </xf>
    <xf numFmtId="0" fontId="27" fillId="0" borderId="1" xfId="0" applyFont="1" applyBorder="1" applyAlignment="1" applyProtection="1">
      <alignment horizontal="center" wrapText="1"/>
      <protection locked="0"/>
    </xf>
    <xf numFmtId="0" fontId="27" fillId="0" borderId="13" xfId="0" applyFont="1" applyBorder="1" applyAlignment="1" applyProtection="1">
      <alignment horizontal="center" wrapText="1"/>
      <protection locked="0"/>
    </xf>
    <xf numFmtId="0" fontId="27" fillId="0" borderId="4" xfId="0" applyFont="1" applyBorder="1" applyAlignment="1" applyProtection="1">
      <alignment horizontal="center" wrapText="1"/>
      <protection locked="0"/>
    </xf>
    <xf numFmtId="0" fontId="27" fillId="0" borderId="21" xfId="0" applyFont="1" applyBorder="1" applyAlignment="1" applyProtection="1">
      <alignment horizontal="center" wrapText="1"/>
      <protection locked="0"/>
    </xf>
    <xf numFmtId="0" fontId="27" fillId="0" borderId="15" xfId="0" applyFont="1" applyBorder="1" applyAlignment="1" applyProtection="1">
      <alignment horizontal="center" wrapText="1"/>
      <protection locked="0"/>
    </xf>
    <xf numFmtId="0" fontId="27" fillId="0" borderId="16" xfId="0" applyFont="1" applyBorder="1" applyAlignment="1" applyProtection="1">
      <alignment horizontal="center" wrapText="1"/>
      <protection locked="0"/>
    </xf>
    <xf numFmtId="0" fontId="28" fillId="0" borderId="26" xfId="0" applyFont="1" applyBorder="1" applyAlignment="1">
      <alignment horizontal="center" vertical="center" wrapText="1"/>
    </xf>
    <xf numFmtId="0" fontId="28" fillId="0" borderId="27" xfId="0" applyFont="1" applyBorder="1" applyAlignment="1">
      <alignment horizontal="center" vertical="center" wrapText="1"/>
    </xf>
    <xf numFmtId="0" fontId="28" fillId="0" borderId="28" xfId="0" applyFont="1" applyBorder="1" applyAlignment="1">
      <alignment horizontal="center" vertical="center" wrapText="1"/>
    </xf>
    <xf numFmtId="0" fontId="28" fillId="0" borderId="29" xfId="0" applyFont="1" applyBorder="1" applyAlignment="1">
      <alignment horizontal="center" vertical="center" wrapText="1"/>
    </xf>
    <xf numFmtId="0" fontId="28" fillId="0" borderId="0" xfId="0" applyFont="1" applyBorder="1" applyAlignment="1">
      <alignment horizontal="center" vertical="center" wrapText="1"/>
    </xf>
    <xf numFmtId="0" fontId="28" fillId="0" borderId="30" xfId="0" applyFont="1" applyBorder="1" applyAlignment="1">
      <alignment horizontal="center" vertical="center" wrapText="1"/>
    </xf>
    <xf numFmtId="0" fontId="28" fillId="0" borderId="31" xfId="0" applyFont="1" applyBorder="1" applyAlignment="1">
      <alignment horizontal="center" vertical="center" wrapText="1"/>
    </xf>
    <xf numFmtId="0" fontId="28" fillId="0" borderId="32" xfId="0" applyFont="1" applyBorder="1" applyAlignment="1">
      <alignment horizontal="center" vertical="center" wrapText="1"/>
    </xf>
    <xf numFmtId="0" fontId="28" fillId="0" borderId="33" xfId="0" applyFont="1" applyBorder="1" applyAlignment="1">
      <alignment horizontal="center" vertical="center" wrapText="1"/>
    </xf>
  </cellXfs>
  <cellStyles count="1">
    <cellStyle name="Normal" xfId="0" builtinId="0"/>
  </cellStyles>
  <dxfs count="7">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1"/>
        </patternFill>
      </fill>
    </dxf>
    <dxf>
      <fill>
        <patternFill>
          <bgColor rgb="FF92D050"/>
        </patternFill>
      </fill>
    </dxf>
    <dxf>
      <fill>
        <patternFill>
          <bgColor indexed="2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Figure 3.1. Graph of objective function f(x)=[exp(x)–2–x]^2</a:t>
            </a:r>
          </a:p>
        </c:rich>
      </c:tx>
      <c:layout>
        <c:manualLayout>
          <c:xMode val="edge"/>
          <c:yMode val="edge"/>
          <c:x val="0.16742113118213164"/>
          <c:y val="3.0373831775700934E-2"/>
        </c:manualLayout>
      </c:layout>
      <c:overlay val="0"/>
      <c:spPr>
        <a:noFill/>
        <a:ln w="25400">
          <a:noFill/>
        </a:ln>
      </c:spPr>
    </c:title>
    <c:autoTitleDeleted val="0"/>
    <c:plotArea>
      <c:layout>
        <c:manualLayout>
          <c:layoutTarget val="inner"/>
          <c:xMode val="edge"/>
          <c:yMode val="edge"/>
          <c:x val="0.10558084933076647"/>
          <c:y val="0.16588785046728971"/>
          <c:w val="0.87330445375019705"/>
          <c:h val="0.67289719626168221"/>
        </c:manualLayout>
      </c:layout>
      <c:lineChart>
        <c:grouping val="standard"/>
        <c:varyColors val="0"/>
        <c:ser>
          <c:idx val="0"/>
          <c:order val="0"/>
          <c:spPr>
            <a:ln w="12700">
              <a:solidFill>
                <a:srgbClr val="000080"/>
              </a:solidFill>
              <a:prstDash val="solid"/>
            </a:ln>
          </c:spPr>
          <c:marker>
            <c:symbol val="none"/>
          </c:marker>
          <c:cat>
            <c:numRef>
              <c:f>Sheet2!$J$5:$J$35</c:f>
              <c:numCache>
                <c:formatCode>General</c:formatCode>
                <c:ptCount val="31"/>
                <c:pt idx="0">
                  <c:v>1</c:v>
                </c:pt>
                <c:pt idx="1">
                  <c:v>1.01</c:v>
                </c:pt>
                <c:pt idx="2">
                  <c:v>1.02</c:v>
                </c:pt>
                <c:pt idx="3">
                  <c:v>1.03</c:v>
                </c:pt>
                <c:pt idx="4">
                  <c:v>1.04</c:v>
                </c:pt>
                <c:pt idx="5">
                  <c:v>1.05</c:v>
                </c:pt>
                <c:pt idx="6">
                  <c:v>1.06</c:v>
                </c:pt>
                <c:pt idx="7">
                  <c:v>1.07</c:v>
                </c:pt>
                <c:pt idx="8">
                  <c:v>1.08</c:v>
                </c:pt>
                <c:pt idx="9">
                  <c:v>1.0900000000000001</c:v>
                </c:pt>
                <c:pt idx="10">
                  <c:v>1.1000000000000001</c:v>
                </c:pt>
                <c:pt idx="11">
                  <c:v>1.1100000000000001</c:v>
                </c:pt>
                <c:pt idx="12">
                  <c:v>1.1200000000000001</c:v>
                </c:pt>
                <c:pt idx="13">
                  <c:v>1.1300000000000001</c:v>
                </c:pt>
                <c:pt idx="14">
                  <c:v>1.1400000000000001</c:v>
                </c:pt>
                <c:pt idx="15">
                  <c:v>1.1500000000000001</c:v>
                </c:pt>
                <c:pt idx="16">
                  <c:v>1.1600000000000001</c:v>
                </c:pt>
                <c:pt idx="17">
                  <c:v>1.1700000000000002</c:v>
                </c:pt>
                <c:pt idx="18">
                  <c:v>1.1800000000000002</c:v>
                </c:pt>
                <c:pt idx="19">
                  <c:v>1.1900000000000002</c:v>
                </c:pt>
                <c:pt idx="20">
                  <c:v>1.2000000000000002</c:v>
                </c:pt>
                <c:pt idx="21">
                  <c:v>1.2100000000000002</c:v>
                </c:pt>
                <c:pt idx="22">
                  <c:v>1.2200000000000002</c:v>
                </c:pt>
                <c:pt idx="23">
                  <c:v>1.2300000000000002</c:v>
                </c:pt>
                <c:pt idx="24">
                  <c:v>1.2400000000000002</c:v>
                </c:pt>
                <c:pt idx="25">
                  <c:v>1.2500000000000002</c:v>
                </c:pt>
                <c:pt idx="26">
                  <c:v>1.2600000000000002</c:v>
                </c:pt>
                <c:pt idx="27">
                  <c:v>1.2700000000000002</c:v>
                </c:pt>
                <c:pt idx="28">
                  <c:v>1.2800000000000002</c:v>
                </c:pt>
                <c:pt idx="29">
                  <c:v>1.2900000000000003</c:v>
                </c:pt>
                <c:pt idx="30">
                  <c:v>1.3000000000000003</c:v>
                </c:pt>
              </c:numCache>
            </c:numRef>
          </c:cat>
          <c:val>
            <c:numRef>
              <c:f>Sheet2!$K$5:$K$35</c:f>
              <c:numCache>
                <c:formatCode>General</c:formatCode>
                <c:ptCount val="31"/>
                <c:pt idx="0">
                  <c:v>7.9365128176378891E-2</c:v>
                </c:pt>
                <c:pt idx="1">
                  <c:v>6.9906823260084905E-2</c:v>
                </c:pt>
                <c:pt idx="2">
                  <c:v>6.0912824534638706E-2</c:v>
                </c:pt>
                <c:pt idx="3">
                  <c:v>5.2410852042029388E-2</c:v>
                </c:pt>
                <c:pt idx="4">
                  <c:v>4.442946703887056E-2</c:v>
                </c:pt>
                <c:pt idx="5">
                  <c:v>3.6998092382350946E-2</c:v>
                </c:pt>
                <c:pt idx="6">
                  <c:v>3.0147033367787388E-2</c:v>
                </c:pt>
                <c:pt idx="7">
                  <c:v>2.3907499027363534E-2</c:v>
                </c:pt>
                <c:pt idx="8">
                  <c:v>1.8311623899828107E-2</c:v>
                </c:pt>
                <c:pt idx="9">
                  <c:v>1.3392490281138616E-2</c:v>
                </c:pt>
                <c:pt idx="10">
                  <c:v>9.1841509662355953E-3</c:v>
                </c:pt>
                <c:pt idx="11">
                  <c:v>5.7216524923488186E-3</c:v>
                </c:pt>
                <c:pt idx="12">
                  <c:v>3.0410588944495194E-3</c:v>
                </c:pt>
                <c:pt idx="13">
                  <c:v>1.1794759836839266E-3</c:v>
                </c:pt>
                <c:pt idx="14">
                  <c:v>1.7507615984692666E-4</c:v>
                </c:pt>
                <c:pt idx="15">
                  <c:v>6.712376918469333E-5</c:v>
                </c:pt>
                <c:pt idx="16">
                  <c:v>8.9600101904775892E-4</c:v>
                </c:pt>
                <c:pt idx="17">
                  <c:v>2.7032344611552972E-3</c:v>
                </c:pt>
                <c:pt idx="18">
                  <c:v>5.5315220554739471E-3</c:v>
                </c:pt>
                <c:pt idx="19">
                  <c:v>9.4247608269640917E-3</c:v>
                </c:pt>
                <c:pt idx="20">
                  <c:v>1.442807512769783E-2</c:v>
                </c:pt>
                <c:pt idx="21">
                  <c:v>2.058784551711423E-2</c:v>
                </c:pt>
                <c:pt idx="22">
                  <c:v>2.7951738273438467E-2</c:v>
                </c:pt>
                <c:pt idx="23">
                  <c:v>3.6568735549563781E-2</c:v>
                </c:pt>
                <c:pt idx="24">
                  <c:v>4.6489166186965802E-2</c:v>
                </c:pt>
                <c:pt idx="25">
                  <c:v>5.7764737201504837E-2</c:v>
                </c:pt>
                <c:pt idx="26">
                  <c:v>7.0448565955251966E-2</c:v>
                </c:pt>
                <c:pt idx="27">
                  <c:v>8.459521302877232E-2</c:v>
                </c:pt>
                <c:pt idx="28">
                  <c:v>0.10026071580859042</c:v>
                </c:pt>
                <c:pt idx="29">
                  <c:v>0.11750262280487403</c:v>
                </c:pt>
                <c:pt idx="30">
                  <c:v>0.13638002871467916</c:v>
                </c:pt>
              </c:numCache>
            </c:numRef>
          </c:val>
          <c:smooth val="0"/>
          <c:extLst>
            <c:ext xmlns:c16="http://schemas.microsoft.com/office/drawing/2014/chart" uri="{C3380CC4-5D6E-409C-BE32-E72D297353CC}">
              <c16:uniqueId val="{00000000-9766-4031-9008-77F0C134C61F}"/>
            </c:ext>
          </c:extLst>
        </c:ser>
        <c:dLbls>
          <c:showLegendKey val="0"/>
          <c:showVal val="0"/>
          <c:showCatName val="0"/>
          <c:showSerName val="0"/>
          <c:showPercent val="0"/>
          <c:showBubbleSize val="0"/>
        </c:dLbls>
        <c:smooth val="0"/>
        <c:axId val="46884352"/>
        <c:axId val="81526080"/>
      </c:lineChart>
      <c:catAx>
        <c:axId val="468843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Abscissa X</a:t>
                </a:r>
              </a:p>
            </c:rich>
          </c:tx>
          <c:layout>
            <c:manualLayout>
              <c:xMode val="edge"/>
              <c:yMode val="edge"/>
              <c:x val="0.48868857456166398"/>
              <c:y val="0.91121495327102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81526080"/>
        <c:crosses val="autoZero"/>
        <c:auto val="1"/>
        <c:lblAlgn val="ctr"/>
        <c:lblOffset val="100"/>
        <c:tickLblSkip val="2"/>
        <c:tickMarkSkip val="1"/>
        <c:noMultiLvlLbl val="0"/>
      </c:catAx>
      <c:valAx>
        <c:axId val="815260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y=f(x)</a:t>
                </a:r>
              </a:p>
            </c:rich>
          </c:tx>
          <c:layout>
            <c:manualLayout>
              <c:xMode val="edge"/>
              <c:yMode val="edge"/>
              <c:x val="2.4132730015082957E-2"/>
              <c:y val="0.4579439252336448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88435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List" dx="16" fmlaLink="$E$8" fmlaRange="$H$7:$H$27"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11" dropStyle="combo" dx="16" fmlaLink="$K$5" fmlaRange="$J$16:$J$24" sel="1" val="0"/>
</file>

<file path=xl/ctrlProps/ctrlProp4.xml><?xml version="1.0" encoding="utf-8"?>
<formControlPr xmlns="http://schemas.microsoft.com/office/spreadsheetml/2009/9/main" objectType="List" dx="16" fmlaLink="H5" fmlaRange="G4:G5" noThreeD="1" sel="2" val="0"/>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114300</xdr:colOff>
      <xdr:row>5</xdr:row>
      <xdr:rowOff>104775</xdr:rowOff>
    </xdr:from>
    <xdr:to>
      <xdr:col>21</xdr:col>
      <xdr:colOff>333375</xdr:colOff>
      <xdr:row>30</xdr:row>
      <xdr:rowOff>123825</xdr:rowOff>
    </xdr:to>
    <xdr:graphicFrame macro="">
      <xdr:nvGraphicFramePr>
        <xdr:cNvPr id="205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114300</xdr:colOff>
      <xdr:row>8</xdr:row>
      <xdr:rowOff>47625</xdr:rowOff>
    </xdr:from>
    <xdr:to>
      <xdr:col>10</xdr:col>
      <xdr:colOff>276225</xdr:colOff>
      <xdr:row>18</xdr:row>
      <xdr:rowOff>133350</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38350" y="1962150"/>
          <a:ext cx="2533650" cy="1704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5</xdr:col>
          <xdr:colOff>19050</xdr:colOff>
          <xdr:row>23</xdr:row>
          <xdr:rowOff>47625</xdr:rowOff>
        </xdr:to>
        <xdr:sp macro="" textlink="">
          <xdr:nvSpPr>
            <xdr:cNvPr id="4098" name="List Box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257175</xdr:colOff>
          <xdr:row>24</xdr:row>
          <xdr:rowOff>152400</xdr:rowOff>
        </xdr:from>
        <xdr:to>
          <xdr:col>6</xdr:col>
          <xdr:colOff>590550</xdr:colOff>
          <xdr:row>32</xdr:row>
          <xdr:rowOff>19050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Automatic Scanning of</a:t>
              </a:r>
            </a:p>
            <a:p>
              <a:pPr algn="ctr" rtl="0">
                <a:defRPr sz="1000"/>
              </a:pPr>
              <a:r>
                <a:rPr lang="en-US" sz="1000" b="0" i="0" u="none" strike="noStrike" baseline="0">
                  <a:solidFill>
                    <a:srgbClr val="000000"/>
                  </a:solidFill>
                  <a:latin typeface="Arial"/>
                  <a:cs typeface="Arial"/>
                </a:rPr>
                <a:t> SIGMA values with automatic composing of conclusion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19050</xdr:colOff>
          <xdr:row>5</xdr:row>
          <xdr:rowOff>9525</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xdr:row>
          <xdr:rowOff>161925</xdr:rowOff>
        </xdr:from>
        <xdr:to>
          <xdr:col>8</xdr:col>
          <xdr:colOff>0</xdr:colOff>
          <xdr:row>4</xdr:row>
          <xdr:rowOff>200025</xdr:rowOff>
        </xdr:to>
        <xdr:sp macro="" textlink="">
          <xdr:nvSpPr>
            <xdr:cNvPr id="1026" name="List Box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tabSelected="1" workbookViewId="0">
      <selection sqref="A1:XFD1048576"/>
    </sheetView>
  </sheetViews>
  <sheetFormatPr defaultRowHeight="12.75" x14ac:dyDescent="0.2"/>
  <cols>
    <col min="1" max="1" width="4.42578125" customWidth="1"/>
    <col min="2" max="2" width="10" customWidth="1"/>
    <col min="3" max="3" width="9.28515625" customWidth="1"/>
    <col min="4" max="4" width="7.140625" customWidth="1"/>
    <col min="5" max="5" width="9.85546875" customWidth="1"/>
    <col min="6" max="6" width="8" bestFit="1" customWidth="1"/>
    <col min="7" max="7" width="11.42578125" bestFit="1" customWidth="1"/>
    <col min="8" max="8" width="29.7109375" customWidth="1"/>
    <col min="9" max="9" width="14.85546875" customWidth="1"/>
    <col min="10" max="10" width="14.28515625" customWidth="1"/>
    <col min="11" max="11" width="9.5703125" customWidth="1"/>
  </cols>
  <sheetData>
    <row r="1" spans="1:15" x14ac:dyDescent="0.2">
      <c r="A1" s="108" t="s">
        <v>74</v>
      </c>
    </row>
    <row r="2" spans="1:15" ht="13.5" thickBot="1" x14ac:dyDescent="0.25">
      <c r="A2" t="s">
        <v>75</v>
      </c>
    </row>
    <row r="3" spans="1:15" ht="48" customHeight="1" x14ac:dyDescent="0.2">
      <c r="A3" s="109" t="s">
        <v>55</v>
      </c>
      <c r="B3" s="110" t="s">
        <v>56</v>
      </c>
      <c r="C3" s="110" t="s">
        <v>57</v>
      </c>
      <c r="D3" s="110" t="s">
        <v>8</v>
      </c>
      <c r="E3" s="110" t="s">
        <v>58</v>
      </c>
      <c r="F3" s="110" t="s">
        <v>13</v>
      </c>
      <c r="G3" s="110" t="s">
        <v>59</v>
      </c>
      <c r="H3" s="110" t="s">
        <v>76</v>
      </c>
      <c r="I3" s="110" t="s">
        <v>60</v>
      </c>
      <c r="J3" s="110" t="s">
        <v>61</v>
      </c>
      <c r="K3" s="111" t="s">
        <v>33</v>
      </c>
    </row>
    <row r="4" spans="1:15" x14ac:dyDescent="0.2">
      <c r="A4" s="63">
        <v>0</v>
      </c>
      <c r="B4" s="64">
        <v>1E+20</v>
      </c>
      <c r="C4" s="63">
        <v>0</v>
      </c>
      <c r="D4" s="63">
        <v>400</v>
      </c>
      <c r="E4" s="63">
        <v>1.1100000000000001</v>
      </c>
      <c r="F4" s="65">
        <v>1.0000000000000001E-5</v>
      </c>
      <c r="G4" s="64">
        <v>400000</v>
      </c>
      <c r="H4" s="66" t="s">
        <v>77</v>
      </c>
      <c r="I4" s="67">
        <f>2*E4*D4/(2*E4-1)</f>
        <v>727.86885245901635</v>
      </c>
      <c r="J4" s="68">
        <f t="shared" ref="J4:J67" si="0">(K4*D4/G4)^(1/(2*E4))</f>
        <v>45462954.695323914</v>
      </c>
      <c r="K4" s="69">
        <f>B4/((1+C4)^(2*E4))</f>
        <v>1E+20</v>
      </c>
    </row>
    <row r="5" spans="1:15" x14ac:dyDescent="0.2">
      <c r="A5" s="112">
        <v>1</v>
      </c>
      <c r="B5" s="113">
        <v>1.3200635000000001E+52</v>
      </c>
      <c r="C5" s="112">
        <v>1.6240000000000001</v>
      </c>
      <c r="D5" s="112">
        <v>1620</v>
      </c>
      <c r="E5" s="112">
        <v>2.6207999999996998</v>
      </c>
      <c r="F5" s="112">
        <v>1.0000000000000001E-5</v>
      </c>
      <c r="G5" s="113">
        <v>2640000000</v>
      </c>
      <c r="H5" s="112" t="s">
        <v>78</v>
      </c>
      <c r="I5" s="114">
        <f t="shared" ref="I5:I67" si="1">2*E5*D5/(2*E5-1)</f>
        <v>2001.9313466616909</v>
      </c>
      <c r="J5" s="115">
        <f t="shared" si="0"/>
        <v>218538053.75470608</v>
      </c>
      <c r="K5" s="116">
        <f t="shared" ref="K5:K67" si="2">B5/((1+C5)^(2*E5))</f>
        <v>8.4053152720951695E+49</v>
      </c>
    </row>
    <row r="6" spans="1:15" x14ac:dyDescent="0.2">
      <c r="A6" s="2">
        <v>2</v>
      </c>
      <c r="B6" s="3">
        <v>1.330064E+52</v>
      </c>
      <c r="C6" s="2">
        <v>1.6359999999999999</v>
      </c>
      <c r="D6" s="2">
        <v>1630</v>
      </c>
      <c r="E6" s="2">
        <v>2.6318999999996899</v>
      </c>
      <c r="F6" s="2">
        <v>1.0000000000000001E-5</v>
      </c>
      <c r="G6" s="3">
        <v>2660000000</v>
      </c>
      <c r="H6" s="2" t="s">
        <v>79</v>
      </c>
      <c r="I6" s="70">
        <f t="shared" si="1"/>
        <v>2012.2880998171202</v>
      </c>
      <c r="J6" s="71">
        <f t="shared" si="0"/>
        <v>200038882.17951778</v>
      </c>
      <c r="K6" s="72">
        <f t="shared" si="2"/>
        <v>8.0928242897250526E+49</v>
      </c>
    </row>
    <row r="7" spans="1:15" x14ac:dyDescent="0.2">
      <c r="A7" s="2">
        <v>3</v>
      </c>
      <c r="B7" s="3">
        <v>1.3400645000000001E+52</v>
      </c>
      <c r="C7" s="2">
        <v>1.6479999999999999</v>
      </c>
      <c r="D7" s="2">
        <v>1640</v>
      </c>
      <c r="E7" s="2">
        <v>2.64299999999968</v>
      </c>
      <c r="F7" s="2">
        <v>1.0000000000000001E-5</v>
      </c>
      <c r="G7" s="3">
        <v>2680000000</v>
      </c>
      <c r="H7" s="2" t="s">
        <v>80</v>
      </c>
      <c r="I7" s="70">
        <f t="shared" si="1"/>
        <v>2022.6411572562401</v>
      </c>
      <c r="J7" s="71">
        <f t="shared" si="0"/>
        <v>183237213.80570087</v>
      </c>
      <c r="K7" s="72">
        <f t="shared" si="2"/>
        <v>7.7907856562055439E+49</v>
      </c>
    </row>
    <row r="8" spans="1:15" x14ac:dyDescent="0.2">
      <c r="A8" s="2">
        <v>4</v>
      </c>
      <c r="B8" s="3">
        <v>1.350065E+52</v>
      </c>
      <c r="C8" s="2">
        <v>1.66</v>
      </c>
      <c r="D8" s="2">
        <v>1650</v>
      </c>
      <c r="E8" s="2">
        <v>2.6540999999996702</v>
      </c>
      <c r="F8" s="2">
        <v>1.0000000000000001E-5</v>
      </c>
      <c r="G8" s="3">
        <v>2700000000</v>
      </c>
      <c r="H8" s="2" t="s">
        <v>81</v>
      </c>
      <c r="I8" s="70">
        <f t="shared" si="1"/>
        <v>2032.9905761107311</v>
      </c>
      <c r="J8" s="71">
        <f t="shared" si="0"/>
        <v>167965856.18716684</v>
      </c>
      <c r="K8" s="72">
        <f t="shared" si="2"/>
        <v>7.4989071261342963E+49</v>
      </c>
    </row>
    <row r="9" spans="1:15" x14ac:dyDescent="0.2">
      <c r="A9" s="2">
        <v>5</v>
      </c>
      <c r="B9" s="3">
        <v>1.3600655000000001E+52</v>
      </c>
      <c r="C9" s="2">
        <v>1.6719999999999999</v>
      </c>
      <c r="D9" s="2">
        <v>1660</v>
      </c>
      <c r="E9" s="2">
        <v>2.6651999999996598</v>
      </c>
      <c r="F9" s="2">
        <v>1.0000000000000001E-5</v>
      </c>
      <c r="G9" s="3">
        <v>2720000000</v>
      </c>
      <c r="H9" s="2" t="s">
        <v>82</v>
      </c>
      <c r="I9" s="70">
        <f t="shared" si="1"/>
        <v>2043.3364123407216</v>
      </c>
      <c r="J9" s="71">
        <f t="shared" si="0"/>
        <v>154075158.52451628</v>
      </c>
      <c r="K9" s="72">
        <f t="shared" si="2"/>
        <v>7.2169017166676157E+49</v>
      </c>
    </row>
    <row r="10" spans="1:15" x14ac:dyDescent="0.2">
      <c r="A10" s="2">
        <v>6</v>
      </c>
      <c r="B10" s="3">
        <v>1.370066E+52</v>
      </c>
      <c r="C10" s="2">
        <v>1.6839999999999999</v>
      </c>
      <c r="D10" s="2">
        <v>1670</v>
      </c>
      <c r="E10" s="2">
        <v>2.67629999999965</v>
      </c>
      <c r="F10" s="2">
        <v>1.0000000000000001E-5</v>
      </c>
      <c r="G10" s="3">
        <v>2740000000</v>
      </c>
      <c r="H10" s="2" t="s">
        <v>83</v>
      </c>
      <c r="I10" s="70">
        <f t="shared" si="1"/>
        <v>2053.6787207646621</v>
      </c>
      <c r="J10" s="71">
        <f t="shared" si="0"/>
        <v>141431062.99647093</v>
      </c>
      <c r="K10" s="72">
        <f t="shared" si="2"/>
        <v>6.9444877767578047E+49</v>
      </c>
    </row>
    <row r="11" spans="1:15" x14ac:dyDescent="0.2">
      <c r="A11" s="2">
        <v>7</v>
      </c>
      <c r="B11" s="3">
        <v>1.3800665000000001E+52</v>
      </c>
      <c r="C11" s="2">
        <v>1.696</v>
      </c>
      <c r="D11" s="2">
        <v>1680</v>
      </c>
      <c r="E11" s="2">
        <v>2.6873999999996401</v>
      </c>
      <c r="F11" s="2">
        <v>1.0000000000000001E-5</v>
      </c>
      <c r="G11" s="3">
        <v>2760000000</v>
      </c>
      <c r="H11" s="2" t="s">
        <v>84</v>
      </c>
      <c r="I11" s="70">
        <f t="shared" si="1"/>
        <v>2064.0175550882959</v>
      </c>
      <c r="J11" s="71">
        <f t="shared" si="0"/>
        <v>129913384.15759315</v>
      </c>
      <c r="K11" s="72">
        <f t="shared" si="2"/>
        <v>6.681389043604658E+49</v>
      </c>
    </row>
    <row r="12" spans="1:15" x14ac:dyDescent="0.2">
      <c r="A12" s="2">
        <v>8</v>
      </c>
      <c r="B12" s="3">
        <v>1.390067E+52</v>
      </c>
      <c r="C12" s="2">
        <v>1.708</v>
      </c>
      <c r="D12" s="2">
        <v>1690</v>
      </c>
      <c r="E12" s="2">
        <v>2.6984999999996302</v>
      </c>
      <c r="F12" s="2">
        <v>1.0000000000000001E-5</v>
      </c>
      <c r="G12" s="3">
        <v>2780000000</v>
      </c>
      <c r="H12" s="2" t="s">
        <v>85</v>
      </c>
      <c r="I12" s="70">
        <f t="shared" si="1"/>
        <v>2074.3529679327462</v>
      </c>
      <c r="J12" s="71">
        <f t="shared" si="0"/>
        <v>119414288.39739411</v>
      </c>
      <c r="K12" s="72">
        <f t="shared" si="2"/>
        <v>6.4273346870814807E+49</v>
      </c>
    </row>
    <row r="13" spans="1:15" x14ac:dyDescent="0.2">
      <c r="A13" s="2">
        <v>9</v>
      </c>
      <c r="B13" s="3">
        <v>1.4000675000000001E+52</v>
      </c>
      <c r="C13" s="2">
        <v>1.72</v>
      </c>
      <c r="D13" s="2">
        <v>1700</v>
      </c>
      <c r="E13" s="2">
        <v>2.7095999999996199</v>
      </c>
      <c r="F13" s="2">
        <v>1.0000000000000001E-5</v>
      </c>
      <c r="G13" s="3">
        <v>2800000000</v>
      </c>
      <c r="H13" s="2" t="s">
        <v>86</v>
      </c>
      <c r="I13" s="70">
        <f t="shared" si="1"/>
        <v>2084.6850108617605</v>
      </c>
      <c r="J13" s="71">
        <f t="shared" si="0"/>
        <v>109836949.05110747</v>
      </c>
      <c r="K13" s="72">
        <f t="shared" si="2"/>
        <v>6.1820593428670233E+49</v>
      </c>
    </row>
    <row r="14" spans="1:15" x14ac:dyDescent="0.2">
      <c r="A14" s="2">
        <v>10</v>
      </c>
      <c r="B14" s="3">
        <v>1.410068E+52</v>
      </c>
      <c r="C14" s="2">
        <v>1.732</v>
      </c>
      <c r="D14" s="2">
        <v>1710</v>
      </c>
      <c r="E14" s="2">
        <v>2.72069999999961</v>
      </c>
      <c r="F14" s="2">
        <v>1.0000000000000001E-5</v>
      </c>
      <c r="G14" s="3">
        <v>2820000000</v>
      </c>
      <c r="H14" s="2" t="s">
        <v>87</v>
      </c>
      <c r="I14" s="70">
        <f t="shared" si="1"/>
        <v>2095.0137344081372</v>
      </c>
      <c r="J14" s="71">
        <f t="shared" si="0"/>
        <v>101094355.8665393</v>
      </c>
      <c r="K14" s="72">
        <f t="shared" si="2"/>
        <v>5.9453031349840186E+49</v>
      </c>
      <c r="O14" t="s">
        <v>88</v>
      </c>
    </row>
    <row r="15" spans="1:15" x14ac:dyDescent="0.2">
      <c r="A15" s="2">
        <v>11</v>
      </c>
      <c r="B15" s="3">
        <v>1.4200685000000001E+52</v>
      </c>
      <c r="C15" s="2">
        <v>1.744</v>
      </c>
      <c r="D15" s="2">
        <v>1720</v>
      </c>
      <c r="E15" s="2">
        <v>2.7317999999996001</v>
      </c>
      <c r="F15" s="2">
        <v>1.0000000000000001E-5</v>
      </c>
      <c r="G15" s="3">
        <v>2840000000</v>
      </c>
      <c r="H15" s="2" t="s">
        <v>89</v>
      </c>
      <c r="I15" s="70">
        <f t="shared" si="1"/>
        <v>2105.3391880993613</v>
      </c>
      <c r="J15" s="71">
        <f t="shared" si="0"/>
        <v>93108260.231389597</v>
      </c>
      <c r="K15" s="72">
        <f t="shared" si="2"/>
        <v>5.716811688416956E+49</v>
      </c>
    </row>
    <row r="16" spans="1:15" x14ac:dyDescent="0.2">
      <c r="A16" s="2">
        <v>12</v>
      </c>
      <c r="B16" s="3">
        <v>1.4300689999999999E+52</v>
      </c>
      <c r="C16" s="2">
        <v>1.756</v>
      </c>
      <c r="D16" s="2">
        <v>1730</v>
      </c>
      <c r="E16" s="2">
        <v>2.7428999999995902</v>
      </c>
      <c r="F16" s="2">
        <v>1.0000000000000001E-5</v>
      </c>
      <c r="G16" s="3">
        <v>2860000000</v>
      </c>
      <c r="H16" s="2" t="s">
        <v>90</v>
      </c>
      <c r="I16" s="70">
        <f t="shared" si="1"/>
        <v>2115.6614204824818</v>
      </c>
      <c r="J16" s="71">
        <f t="shared" si="0"/>
        <v>85808239.90851143</v>
      </c>
      <c r="K16" s="72">
        <f t="shared" si="2"/>
        <v>5.4963361324529225E+49</v>
      </c>
    </row>
    <row r="17" spans="1:11" x14ac:dyDescent="0.2">
      <c r="A17" s="2">
        <v>13</v>
      </c>
      <c r="B17" s="3">
        <v>1.4400695000000001E+52</v>
      </c>
      <c r="C17" s="2">
        <v>1.768</v>
      </c>
      <c r="D17" s="2">
        <v>1740</v>
      </c>
      <c r="E17" s="2">
        <v>2.7539999999995799</v>
      </c>
      <c r="F17" s="2">
        <v>1.0000000000000001E-5</v>
      </c>
      <c r="G17" s="3">
        <v>2880000000</v>
      </c>
      <c r="H17" s="82"/>
      <c r="I17" s="70">
        <f t="shared" si="1"/>
        <v>2125.9804791482529</v>
      </c>
      <c r="J17" s="71">
        <f t="shared" si="0"/>
        <v>79130869.06186147</v>
      </c>
      <c r="K17" s="72">
        <f t="shared" si="2"/>
        <v>5.2836330953624458E+49</v>
      </c>
    </row>
    <row r="18" spans="1:11" x14ac:dyDescent="0.2">
      <c r="A18" s="2">
        <v>14</v>
      </c>
      <c r="B18" s="3">
        <v>1.4500699999999999E+52</v>
      </c>
      <c r="C18" s="2">
        <v>1.78</v>
      </c>
      <c r="D18" s="2">
        <v>1750</v>
      </c>
      <c r="E18" s="2">
        <v>2.76509999999957</v>
      </c>
      <c r="F18" s="2">
        <v>1.0000000000000001E-5</v>
      </c>
      <c r="G18" s="3">
        <v>2900000000</v>
      </c>
      <c r="H18" s="82"/>
      <c r="I18" s="70">
        <f t="shared" si="1"/>
        <v>2136.2964107545654</v>
      </c>
      <c r="J18" s="71">
        <f t="shared" si="0"/>
        <v>73018981.125346139</v>
      </c>
      <c r="K18" s="72">
        <f t="shared" si="2"/>
        <v>5.0784646910099324E+49</v>
      </c>
    </row>
    <row r="19" spans="1:11" x14ac:dyDescent="0.2">
      <c r="A19" s="2">
        <v>15</v>
      </c>
      <c r="B19" s="3">
        <v>1.4600705000000001E+52</v>
      </c>
      <c r="C19" s="2">
        <v>1.792</v>
      </c>
      <c r="D19" s="2">
        <v>1760</v>
      </c>
      <c r="E19" s="2">
        <v>2.7761999999995601</v>
      </c>
      <c r="F19" s="2">
        <v>1.0000000000000001E-5</v>
      </c>
      <c r="G19" s="3">
        <v>2920000000</v>
      </c>
      <c r="H19" s="82"/>
      <c r="I19" s="70">
        <f t="shared" si="1"/>
        <v>2146.6092610491919</v>
      </c>
      <c r="J19" s="71">
        <f t="shared" si="0"/>
        <v>67421013.606579453</v>
      </c>
      <c r="K19" s="72">
        <f t="shared" si="2"/>
        <v>4.8805984979582545E+49</v>
      </c>
    </row>
    <row r="20" spans="1:11" x14ac:dyDescent="0.2">
      <c r="A20" s="2">
        <v>16</v>
      </c>
      <c r="B20" s="3">
        <v>1.4700709999999999E+52</v>
      </c>
      <c r="C20" s="2">
        <v>1.804</v>
      </c>
      <c r="D20" s="2">
        <v>1770</v>
      </c>
      <c r="E20" s="2">
        <v>2.7872999999995498</v>
      </c>
      <c r="F20" s="2">
        <v>1.0000000000000001E-5</v>
      </c>
      <c r="G20" s="3">
        <v>2940000000</v>
      </c>
      <c r="H20" s="82"/>
      <c r="I20" s="70">
        <f t="shared" si="1"/>
        <v>2156.91907489187</v>
      </c>
      <c r="J20" s="71">
        <f t="shared" si="0"/>
        <v>62290425.258676298</v>
      </c>
      <c r="K20" s="72">
        <f t="shared" si="2"/>
        <v>4.6898075316055839E+49</v>
      </c>
    </row>
    <row r="21" spans="1:11" x14ac:dyDescent="0.2">
      <c r="A21" s="2">
        <v>17</v>
      </c>
      <c r="B21" s="3">
        <v>1.4800715000000001E+52</v>
      </c>
      <c r="C21" s="2">
        <v>1.8160000000000001</v>
      </c>
      <c r="D21" s="2">
        <v>1780</v>
      </c>
      <c r="E21" s="2">
        <v>2.7983999999995399</v>
      </c>
      <c r="F21" s="2">
        <v>1.0000000000000001E-5</v>
      </c>
      <c r="G21" s="3">
        <v>2960000000</v>
      </c>
      <c r="H21" s="82"/>
      <c r="I21" s="70">
        <f t="shared" si="1"/>
        <v>2167.2258962757478</v>
      </c>
      <c r="J21" s="71">
        <f t="shared" si="0"/>
        <v>57585177.222318016</v>
      </c>
      <c r="K21" s="72">
        <f t="shared" si="2"/>
        <v>4.5058702098693396E+49</v>
      </c>
    </row>
    <row r="22" spans="1:11" x14ac:dyDescent="0.2">
      <c r="A22" s="2">
        <v>18</v>
      </c>
      <c r="B22" s="3">
        <v>1.4900719999999999E+52</v>
      </c>
      <c r="C22" s="2">
        <v>1.8280000000000001</v>
      </c>
      <c r="D22" s="2">
        <v>1790</v>
      </c>
      <c r="E22" s="2">
        <v>2.80949999999953</v>
      </c>
      <c r="F22" s="2">
        <v>1.0000000000000001E-5</v>
      </c>
      <c r="G22" s="3">
        <v>2980000000</v>
      </c>
      <c r="H22" s="82"/>
      <c r="I22" s="70">
        <f t="shared" si="1"/>
        <v>2177.5297683482063</v>
      </c>
      <c r="J22" s="71">
        <f t="shared" si="0"/>
        <v>53267270.760383531</v>
      </c>
      <c r="K22" s="72">
        <f t="shared" si="2"/>
        <v>4.3285703129072406E+49</v>
      </c>
    </row>
    <row r="23" spans="1:11" x14ac:dyDescent="0.2">
      <c r="A23" s="2">
        <v>19</v>
      </c>
      <c r="B23" s="3">
        <v>1.5000725000000001E+52</v>
      </c>
      <c r="C23" s="2">
        <v>1.84</v>
      </c>
      <c r="D23" s="2">
        <v>1800</v>
      </c>
      <c r="E23" s="2">
        <v>2.8205999999995202</v>
      </c>
      <c r="F23" s="2">
        <v>1.0000000000000001E-5</v>
      </c>
      <c r="G23" s="3">
        <v>3000000000</v>
      </c>
      <c r="H23" s="82"/>
      <c r="I23" s="70">
        <f t="shared" si="1"/>
        <v>2187.8307334310894</v>
      </c>
      <c r="J23" s="71">
        <f t="shared" si="0"/>
        <v>49302335.098193392</v>
      </c>
      <c r="K23" s="72">
        <f t="shared" si="2"/>
        <v>4.1576969373433267E+49</v>
      </c>
    </row>
    <row r="24" spans="1:11" x14ac:dyDescent="0.2">
      <c r="A24" s="2">
        <v>20</v>
      </c>
      <c r="B24" s="3">
        <v>1.5100729999999999E+52</v>
      </c>
      <c r="C24" s="2">
        <v>1.8520000000000001</v>
      </c>
      <c r="D24" s="2">
        <v>1810</v>
      </c>
      <c r="E24" s="2">
        <v>2.8316999999995098</v>
      </c>
      <c r="F24" s="2">
        <v>1.0000000000000001E-5</v>
      </c>
      <c r="G24" s="3">
        <v>3020000000</v>
      </c>
      <c r="H24" s="82"/>
      <c r="I24" s="70">
        <f t="shared" si="1"/>
        <v>2198.1288330403527</v>
      </c>
      <c r="J24" s="71">
        <f t="shared" si="0"/>
        <v>45659259.660966493</v>
      </c>
      <c r="K24" s="72">
        <f t="shared" si="2"/>
        <v>3.9930444454436875E+49</v>
      </c>
    </row>
    <row r="25" spans="1:11" x14ac:dyDescent="0.2">
      <c r="A25" s="2">
        <v>21</v>
      </c>
      <c r="B25" s="3">
        <v>1.5200735E+52</v>
      </c>
      <c r="C25" s="2">
        <v>1.8640000000000001</v>
      </c>
      <c r="D25" s="2">
        <v>1820</v>
      </c>
      <c r="E25" s="2">
        <v>2.8427999999994999</v>
      </c>
      <c r="F25" s="2">
        <v>1.0000000000000001E-5</v>
      </c>
      <c r="G25" s="3">
        <v>3040000000</v>
      </c>
      <c r="H25" s="82"/>
      <c r="I25" s="70">
        <f t="shared" si="1"/>
        <v>2208.424107905154</v>
      </c>
      <c r="J25" s="71">
        <f t="shared" si="0"/>
        <v>42309865.681083828</v>
      </c>
      <c r="K25" s="72">
        <f t="shared" si="2"/>
        <v>3.8344124096657693E+49</v>
      </c>
    </row>
    <row r="26" spans="1:11" x14ac:dyDescent="0.2">
      <c r="A26" s="2">
        <v>22</v>
      </c>
      <c r="B26" s="3">
        <v>1.5300739999999999E+52</v>
      </c>
      <c r="C26" s="2">
        <v>1.8759999999999999</v>
      </c>
      <c r="D26" s="2">
        <v>1830</v>
      </c>
      <c r="E26" s="2">
        <v>2.8538999999994901</v>
      </c>
      <c r="F26" s="2">
        <v>1.0000000000000001E-5</v>
      </c>
      <c r="G26" s="3">
        <v>3060000000</v>
      </c>
      <c r="H26" s="82"/>
      <c r="I26" s="70">
        <f t="shared" si="1"/>
        <v>2218.7165979864048</v>
      </c>
      <c r="J26" s="71">
        <f t="shared" si="0"/>
        <v>39228612.743981734</v>
      </c>
      <c r="K26" s="72">
        <f t="shared" si="2"/>
        <v>3.6816055529835847E+49</v>
      </c>
    </row>
    <row r="27" spans="1:11" x14ac:dyDescent="0.2">
      <c r="A27" s="2">
        <v>23</v>
      </c>
      <c r="B27" s="3">
        <v>1.5400745E+52</v>
      </c>
      <c r="C27" s="2">
        <v>1.8879999999999999</v>
      </c>
      <c r="D27" s="2">
        <v>1840</v>
      </c>
      <c r="E27" s="2">
        <v>2.8649999999994802</v>
      </c>
      <c r="F27" s="2">
        <v>1.0000000000000001E-5</v>
      </c>
      <c r="G27" s="3">
        <v>3080000000</v>
      </c>
      <c r="H27" s="82"/>
      <c r="I27" s="70">
        <f t="shared" si="1"/>
        <v>2229.0063424948003</v>
      </c>
      <c r="J27" s="71">
        <f t="shared" si="0"/>
        <v>36392336.363887496</v>
      </c>
      <c r="K27" s="72">
        <f t="shared" si="2"/>
        <v>3.5344336853715457E+49</v>
      </c>
    </row>
    <row r="28" spans="1:11" x14ac:dyDescent="0.2">
      <c r="A28" s="2">
        <v>24</v>
      </c>
      <c r="B28" s="3">
        <v>1.5500749999999999E+52</v>
      </c>
      <c r="C28" s="2">
        <v>1.9</v>
      </c>
      <c r="D28" s="2">
        <v>1850</v>
      </c>
      <c r="E28" s="2">
        <v>2.8760999999994699</v>
      </c>
      <c r="F28" s="2">
        <v>1.0000000000000001E-5</v>
      </c>
      <c r="G28" s="3">
        <v>3100000000</v>
      </c>
      <c r="H28" s="82"/>
      <c r="I28" s="70">
        <f t="shared" si="1"/>
        <v>2239.2933799083398</v>
      </c>
      <c r="J28" s="71">
        <f t="shared" si="0"/>
        <v>33780013.138709366</v>
      </c>
      <c r="K28" s="72">
        <f t="shared" si="2"/>
        <v>3.3927116368095502E+49</v>
      </c>
    </row>
    <row r="29" spans="1:11" x14ac:dyDescent="0.2">
      <c r="A29" s="2">
        <v>25</v>
      </c>
      <c r="B29" s="3">
        <v>1.5600755E+52</v>
      </c>
      <c r="C29" s="2">
        <v>1.9119999999999999</v>
      </c>
      <c r="D29" s="2">
        <v>1860</v>
      </c>
      <c r="E29" s="2">
        <v>2.88719999999946</v>
      </c>
      <c r="F29" s="2">
        <v>1.0000000000000001E-5</v>
      </c>
      <c r="G29" s="3">
        <v>3120000000</v>
      </c>
      <c r="H29" s="82"/>
      <c r="I29" s="70">
        <f t="shared" si="1"/>
        <v>2249.5777479893645</v>
      </c>
      <c r="J29" s="71">
        <f t="shared" si="0"/>
        <v>31372550.435436945</v>
      </c>
      <c r="K29" s="72">
        <f t="shared" si="2"/>
        <v>3.2562591871536916E+49</v>
      </c>
    </row>
    <row r="30" spans="1:11" x14ac:dyDescent="0.2">
      <c r="A30" s="2">
        <v>26</v>
      </c>
      <c r="B30" s="3">
        <v>1.5700759999999999E+52</v>
      </c>
      <c r="C30" s="2">
        <v>1.9239999999999999</v>
      </c>
      <c r="D30" s="2">
        <v>1870</v>
      </c>
      <c r="E30" s="2">
        <v>2.8982999999994501</v>
      </c>
      <c r="F30" s="2">
        <v>1.0000000000000001E-5</v>
      </c>
      <c r="G30" s="3">
        <v>3140000000</v>
      </c>
      <c r="H30" s="82"/>
      <c r="I30" s="70">
        <f t="shared" si="1"/>
        <v>2259.8594838011149</v>
      </c>
      <c r="J30" s="71">
        <f t="shared" si="0"/>
        <v>29152597.910530083</v>
      </c>
      <c r="K30" s="72">
        <f t="shared" si="2"/>
        <v>3.1249009931984106E+49</v>
      </c>
    </row>
    <row r="31" spans="1:11" x14ac:dyDescent="0.2">
      <c r="A31" s="2">
        <v>27</v>
      </c>
      <c r="B31" s="3">
        <v>1.5800765E+52</v>
      </c>
      <c r="C31" s="2">
        <v>1.9359999999999999</v>
      </c>
      <c r="D31" s="2">
        <v>1880</v>
      </c>
      <c r="E31" s="2">
        <v>2.9093999999994402</v>
      </c>
      <c r="F31" s="2">
        <v>1.0000000000000001E-5</v>
      </c>
      <c r="G31" s="3">
        <v>3160000000</v>
      </c>
      <c r="H31" s="82"/>
      <c r="I31" s="70">
        <f t="shared" si="1"/>
        <v>2270.1386237238394</v>
      </c>
      <c r="J31" s="71">
        <f t="shared" si="0"/>
        <v>27104378.48017646</v>
      </c>
      <c r="K31" s="72">
        <f t="shared" si="2"/>
        <v>2.9984665132385585E+49</v>
      </c>
    </row>
    <row r="32" spans="1:11" x14ac:dyDescent="0.2">
      <c r="A32" s="2">
        <v>28</v>
      </c>
      <c r="B32" s="3">
        <v>1.5900769999999999E+52</v>
      </c>
      <c r="C32" s="2">
        <v>1.94799999999999</v>
      </c>
      <c r="D32" s="2">
        <v>1890</v>
      </c>
      <c r="E32" s="2">
        <v>2.9204999999994299</v>
      </c>
      <c r="F32" s="2">
        <v>1.0000000000000001E-5</v>
      </c>
      <c r="G32" s="3">
        <v>3180000000</v>
      </c>
      <c r="H32" s="82"/>
      <c r="I32" s="70">
        <f t="shared" si="1"/>
        <v>2280.4152034704493</v>
      </c>
      <c r="J32" s="71">
        <f t="shared" si="0"/>
        <v>25213536.628367968</v>
      </c>
      <c r="K32" s="72">
        <f t="shared" si="2"/>
        <v>2.8767899294230994E+49</v>
      </c>
    </row>
    <row r="33" spans="1:11" x14ac:dyDescent="0.2">
      <c r="A33" s="2">
        <v>29</v>
      </c>
      <c r="B33" s="3">
        <v>1.6000775E+52</v>
      </c>
      <c r="C33" s="2">
        <v>1.95999999999999</v>
      </c>
      <c r="D33" s="2">
        <v>1900</v>
      </c>
      <c r="E33" s="2">
        <v>2.93159999999942</v>
      </c>
      <c r="F33" s="2">
        <v>1.0000000000000001E-5</v>
      </c>
      <c r="G33" s="3">
        <v>3200000000</v>
      </c>
      <c r="H33" s="82"/>
      <c r="I33" s="70">
        <f t="shared" si="1"/>
        <v>2290.6892581017546</v>
      </c>
      <c r="J33" s="71">
        <f t="shared" si="0"/>
        <v>23467002.181156624</v>
      </c>
      <c r="K33" s="72">
        <f t="shared" si="2"/>
        <v>2.7597100681754561E+49</v>
      </c>
    </row>
    <row r="34" spans="1:11" x14ac:dyDescent="0.2">
      <c r="A34" s="2">
        <v>30</v>
      </c>
      <c r="B34" s="3">
        <v>1.6100779999999999E+52</v>
      </c>
      <c r="C34" s="2">
        <v>1.97199999999999</v>
      </c>
      <c r="D34" s="2">
        <v>1910</v>
      </c>
      <c r="E34" s="2">
        <v>2.9426999999994101</v>
      </c>
      <c r="F34" s="2">
        <v>1.0000000000000001E-5</v>
      </c>
      <c r="G34" s="3">
        <v>3220000000</v>
      </c>
      <c r="H34" s="82"/>
      <c r="I34" s="70">
        <f t="shared" si="1"/>
        <v>2300.9608220412783</v>
      </c>
      <c r="J34" s="71">
        <f t="shared" si="0"/>
        <v>21852867.88726715</v>
      </c>
      <c r="K34" s="72">
        <f t="shared" si="2"/>
        <v>2.647070318941268E+49</v>
      </c>
    </row>
    <row r="35" spans="1:11" x14ac:dyDescent="0.2">
      <c r="A35" s="2">
        <v>31</v>
      </c>
      <c r="B35" s="3">
        <v>1.6200785E+52</v>
      </c>
      <c r="C35" s="2">
        <v>1.98399999999999</v>
      </c>
      <c r="D35" s="2">
        <v>1920</v>
      </c>
      <c r="E35" s="2">
        <v>2.9537999999993998</v>
      </c>
      <c r="F35" s="2">
        <v>1.0000000000000001E-5</v>
      </c>
      <c r="G35" s="3">
        <v>3240000000</v>
      </c>
      <c r="H35" s="82"/>
      <c r="I35" s="70">
        <f t="shared" si="1"/>
        <v>2311.2299290896713</v>
      </c>
      <c r="J35" s="71">
        <f t="shared" si="0"/>
        <v>20360279.332012668</v>
      </c>
      <c r="K35" s="72">
        <f t="shared" si="2"/>
        <v>2.5387185515071114E+49</v>
      </c>
    </row>
    <row r="36" spans="1:11" x14ac:dyDescent="0.2">
      <c r="A36" s="2">
        <v>32</v>
      </c>
      <c r="B36" s="3">
        <v>1.6300790000000001E+52</v>
      </c>
      <c r="C36" s="2">
        <v>1.99599999999999</v>
      </c>
      <c r="D36" s="2">
        <v>1930</v>
      </c>
      <c r="E36" s="2">
        <v>2.9648999999993899</v>
      </c>
      <c r="F36" s="2">
        <v>1.0000000000000001E-5</v>
      </c>
      <c r="G36" s="3">
        <v>3260000000</v>
      </c>
      <c r="H36" s="82"/>
      <c r="I36" s="70">
        <f t="shared" si="1"/>
        <v>2321.4966124387356</v>
      </c>
      <c r="J36" s="71">
        <f t="shared" si="0"/>
        <v>18979335.876271565</v>
      </c>
      <c r="K36" s="72">
        <f t="shared" si="2"/>
        <v>2.4345070321216085E+49</v>
      </c>
    </row>
    <row r="37" spans="1:11" x14ac:dyDescent="0.2">
      <c r="A37" s="2">
        <v>33</v>
      </c>
      <c r="B37" s="3">
        <v>1.6400795E+52</v>
      </c>
      <c r="C37" s="2">
        <v>2.0079999999999898</v>
      </c>
      <c r="D37" s="2">
        <v>1940</v>
      </c>
      <c r="E37" s="2">
        <v>2.97599999999938</v>
      </c>
      <c r="F37" s="2">
        <v>1.0000000000000001E-5</v>
      </c>
      <c r="G37" s="3">
        <v>3280000000</v>
      </c>
      <c r="H37" s="82"/>
      <c r="I37" s="70">
        <f t="shared" si="1"/>
        <v>2331.7609046850739</v>
      </c>
      <c r="J37" s="71">
        <f t="shared" si="0"/>
        <v>17701001.457819954</v>
      </c>
      <c r="K37" s="72">
        <f t="shared" si="2"/>
        <v>2.3342923386351816E+49</v>
      </c>
    </row>
    <row r="38" spans="1:11" x14ac:dyDescent="0.2">
      <c r="A38" s="2">
        <v>34</v>
      </c>
      <c r="B38" s="3">
        <v>1.6500800000000001E+52</v>
      </c>
      <c r="C38" s="2">
        <v>2.0199999999999898</v>
      </c>
      <c r="D38" s="2">
        <v>1950</v>
      </c>
      <c r="E38" s="2">
        <v>2.9870999999993701</v>
      </c>
      <c r="F38" s="2">
        <v>1.0000000000000001E-5</v>
      </c>
      <c r="G38" s="3">
        <v>3300000000</v>
      </c>
      <c r="H38" s="82"/>
      <c r="I38" s="70">
        <f t="shared" si="1"/>
        <v>2342.0228378433703</v>
      </c>
      <c r="J38" s="71">
        <f t="shared" si="0"/>
        <v>16517024.220925113</v>
      </c>
      <c r="K38" s="72">
        <f t="shared" si="2"/>
        <v>2.2379352748619018E+49</v>
      </c>
    </row>
    <row r="39" spans="1:11" x14ac:dyDescent="0.2">
      <c r="A39" s="2">
        <v>35</v>
      </c>
      <c r="B39" s="3">
        <v>1.6600805E+52</v>
      </c>
      <c r="C39" s="2">
        <v>2.0319999999999898</v>
      </c>
      <c r="D39" s="2">
        <v>1960</v>
      </c>
      <c r="E39" s="2">
        <v>2.9981999999993598</v>
      </c>
      <c r="F39" s="2">
        <v>1.0000000000000001E-5</v>
      </c>
      <c r="G39" s="3">
        <v>3320000000</v>
      </c>
      <c r="H39" s="82"/>
      <c r="I39" s="70">
        <f t="shared" si="1"/>
        <v>2352.2824433593191</v>
      </c>
      <c r="J39" s="71">
        <f t="shared" si="0"/>
        <v>15419864.053852709</v>
      </c>
      <c r="K39" s="72">
        <f t="shared" si="2"/>
        <v>2.1453007843541565E+49</v>
      </c>
    </row>
    <row r="40" spans="1:11" x14ac:dyDescent="0.2">
      <c r="A40" s="2">
        <v>36</v>
      </c>
      <c r="B40" s="3">
        <v>1.6700810000000001E+52</v>
      </c>
      <c r="C40" s="2">
        <v>2.0439999999999898</v>
      </c>
      <c r="D40" s="2">
        <v>1970</v>
      </c>
      <c r="E40" s="2">
        <v>3.0092999999993499</v>
      </c>
      <c r="F40" s="2">
        <v>1.0000000000000001E-5</v>
      </c>
      <c r="G40" s="3">
        <v>3340000000</v>
      </c>
      <c r="H40" s="82"/>
      <c r="I40" s="70">
        <f t="shared" si="1"/>
        <v>2362.5397521222076</v>
      </c>
      <c r="J40" s="71">
        <f t="shared" si="0"/>
        <v>14402627.214597743</v>
      </c>
      <c r="K40" s="72">
        <f t="shared" si="2"/>
        <v>2.0562578637686721E+49</v>
      </c>
    </row>
    <row r="41" spans="1:11" x14ac:dyDescent="0.2">
      <c r="A41" s="2">
        <v>37</v>
      </c>
      <c r="B41" s="3">
        <v>1.6800815E+52</v>
      </c>
      <c r="C41" s="2">
        <v>2.0559999999999898</v>
      </c>
      <c r="D41" s="2">
        <v>1980</v>
      </c>
      <c r="E41" s="2">
        <v>3.0203999999993401</v>
      </c>
      <c r="F41" s="2">
        <v>1.0000000000000001E-5</v>
      </c>
      <c r="G41" s="3">
        <v>3360000000</v>
      </c>
      <c r="H41" s="82"/>
      <c r="I41" s="70">
        <f t="shared" si="1"/>
        <v>2372.7947944771699</v>
      </c>
      <c r="J41" s="71">
        <f t="shared" si="0"/>
        <v>13459007.314305143</v>
      </c>
      <c r="K41" s="72">
        <f t="shared" si="2"/>
        <v>1.9706794759908802E+49</v>
      </c>
    </row>
    <row r="42" spans="1:11" x14ac:dyDescent="0.2">
      <c r="A42" s="2">
        <v>38</v>
      </c>
      <c r="B42" s="3">
        <v>1.6900820000000001E+52</v>
      </c>
      <c r="C42" s="2">
        <v>2.0679999999999898</v>
      </c>
      <c r="D42" s="2">
        <v>1990</v>
      </c>
      <c r="E42" s="2">
        <v>3.0314999999993302</v>
      </c>
      <c r="F42" s="2">
        <v>1.0000000000000001E-5</v>
      </c>
      <c r="G42" s="3">
        <v>3380000000</v>
      </c>
      <c r="H42" s="82"/>
      <c r="I42" s="70">
        <f t="shared" si="1"/>
        <v>2383.0476002371174</v>
      </c>
      <c r="J42" s="71">
        <f t="shared" si="0"/>
        <v>12583232.006852096</v>
      </c>
      <c r="K42" s="72">
        <f t="shared" si="2"/>
        <v>1.8884424631733985E+49</v>
      </c>
    </row>
    <row r="43" spans="1:11" x14ac:dyDescent="0.2">
      <c r="A43" s="2">
        <v>39</v>
      </c>
      <c r="B43" s="3">
        <v>1.7000825E+52</v>
      </c>
      <c r="C43" s="2">
        <v>2.0799999999999899</v>
      </c>
      <c r="D43" s="2">
        <v>2000</v>
      </c>
      <c r="E43" s="2">
        <v>3.0425999999993198</v>
      </c>
      <c r="F43" s="2">
        <v>1.0000000000000001E-5</v>
      </c>
      <c r="G43" s="3">
        <v>3400000000</v>
      </c>
      <c r="H43" s="82"/>
      <c r="I43" s="70">
        <f t="shared" si="1"/>
        <v>2393.2981986943555</v>
      </c>
      <c r="J43" s="71">
        <f t="shared" si="0"/>
        <v>11770014.803142646</v>
      </c>
      <c r="K43" s="72">
        <f t="shared" si="2"/>
        <v>1.8094274598338317E+49</v>
      </c>
    </row>
    <row r="44" spans="1:11" x14ac:dyDescent="0.2">
      <c r="A44" s="2">
        <v>40</v>
      </c>
      <c r="B44" s="3">
        <v>1.7100830000000001E+52</v>
      </c>
      <c r="C44" s="2">
        <v>2.0919999999999899</v>
      </c>
      <c r="D44" s="2">
        <v>2010</v>
      </c>
      <c r="E44" s="2">
        <v>3.05369999999931</v>
      </c>
      <c r="F44" s="2">
        <v>1.0000000000000001E-5</v>
      </c>
      <c r="G44" s="3">
        <v>3420000000</v>
      </c>
      <c r="H44" s="82"/>
      <c r="I44" s="70">
        <f t="shared" si="1"/>
        <v>2403.5466186318954</v>
      </c>
      <c r="J44" s="71">
        <f t="shared" si="0"/>
        <v>11014511.490853539</v>
      </c>
      <c r="K44" s="72">
        <f t="shared" si="2"/>
        <v>1.7335188061469371E+49</v>
      </c>
    </row>
    <row r="45" spans="1:11" x14ac:dyDescent="0.2">
      <c r="A45" s="2">
        <v>41</v>
      </c>
      <c r="B45" s="3">
        <v>1.7200835E+52</v>
      </c>
      <c r="C45" s="2">
        <v>2.1039999999999899</v>
      </c>
      <c r="D45" s="2">
        <v>2020</v>
      </c>
      <c r="E45" s="2">
        <v>3.0647999999993001</v>
      </c>
      <c r="F45" s="2">
        <v>1.0000000000000001E-5</v>
      </c>
      <c r="G45" s="3">
        <v>3440000000</v>
      </c>
      <c r="H45" s="82"/>
      <c r="I45" s="70">
        <f t="shared" si="1"/>
        <v>2413.7928883344807</v>
      </c>
      <c r="J45" s="71">
        <f t="shared" si="0"/>
        <v>10312280.695606412</v>
      </c>
      <c r="K45" s="72">
        <f t="shared" si="2"/>
        <v>1.6606044615565596E+49</v>
      </c>
    </row>
    <row r="46" spans="1:11" x14ac:dyDescent="0.2">
      <c r="A46" s="2">
        <v>42</v>
      </c>
      <c r="B46" s="3">
        <v>1.73008399999999E+52</v>
      </c>
      <c r="C46" s="2">
        <v>2.1159999999999899</v>
      </c>
      <c r="D46" s="2">
        <v>2030</v>
      </c>
      <c r="E46" s="2">
        <v>3.0758999999992902</v>
      </c>
      <c r="F46" s="2">
        <v>1.0000000000000001E-5</v>
      </c>
      <c r="G46" s="3">
        <v>3460000000</v>
      </c>
      <c r="H46" s="82"/>
      <c r="I46" s="70">
        <f t="shared" si="1"/>
        <v>2424.0370355993164</v>
      </c>
      <c r="J46" s="71">
        <f t="shared" si="0"/>
        <v>9659248.1686247047</v>
      </c>
      <c r="K46" s="72">
        <f t="shared" si="2"/>
        <v>1.5905759188234037E+49</v>
      </c>
    </row>
    <row r="47" spans="1:11" x14ac:dyDescent="0.2">
      <c r="A47" s="2">
        <v>43</v>
      </c>
      <c r="B47" s="3">
        <v>1.7400844999999901E+52</v>
      </c>
      <c r="C47" s="2">
        <v>2.1279999999999899</v>
      </c>
      <c r="D47" s="2">
        <v>2040</v>
      </c>
      <c r="E47" s="2">
        <v>3.0869999999992799</v>
      </c>
      <c r="F47" s="2">
        <v>1.0000000000000001E-5</v>
      </c>
      <c r="G47" s="3">
        <v>3480000000</v>
      </c>
      <c r="H47" s="82"/>
      <c r="I47" s="70">
        <f t="shared" si="1"/>
        <v>2434.2790877465341</v>
      </c>
      <c r="J47" s="71">
        <f t="shared" si="0"/>
        <v>9051674.4295912292</v>
      </c>
      <c r="K47" s="72">
        <f t="shared" si="2"/>
        <v>1.5233281186161376E+49</v>
      </c>
    </row>
    <row r="48" spans="1:11" x14ac:dyDescent="0.2">
      <c r="A48" s="2">
        <v>44</v>
      </c>
      <c r="B48" s="3">
        <v>1.75008499999999E+52</v>
      </c>
      <c r="C48" s="2">
        <v>2.1399999999999899</v>
      </c>
      <c r="D48" s="2">
        <v>2050</v>
      </c>
      <c r="E48" s="2">
        <v>3.09809999999927</v>
      </c>
      <c r="F48" s="2">
        <v>1.0000000000000001E-5</v>
      </c>
      <c r="G48" s="3">
        <v>3500000000</v>
      </c>
      <c r="H48" s="82"/>
      <c r="I48" s="70">
        <f t="shared" si="1"/>
        <v>2444.5190716293782</v>
      </c>
      <c r="J48" s="71">
        <f t="shared" si="0"/>
        <v>8486125.432267921</v>
      </c>
      <c r="K48" s="72">
        <f t="shared" si="2"/>
        <v>1.4587593647445696E+49</v>
      </c>
    </row>
    <row r="49" spans="1:11" x14ac:dyDescent="0.2">
      <c r="A49" s="2">
        <v>45</v>
      </c>
      <c r="B49" s="3">
        <v>1.7600854999999901E+52</v>
      </c>
      <c r="C49" s="2">
        <v>2.1519999999999899</v>
      </c>
      <c r="D49" s="2">
        <v>2060</v>
      </c>
      <c r="E49" s="2">
        <v>3.1091999999992601</v>
      </c>
      <c r="F49" s="2">
        <v>1.0000000000000001E-5</v>
      </c>
      <c r="G49" s="3">
        <v>3520000000</v>
      </c>
      <c r="H49" s="82"/>
      <c r="I49" s="70">
        <f t="shared" si="1"/>
        <v>2454.7570136441409</v>
      </c>
      <c r="J49" s="71">
        <f t="shared" si="0"/>
        <v>7959445.95503591</v>
      </c>
      <c r="K49" s="72">
        <f t="shared" si="2"/>
        <v>1.3967712401262206E+49</v>
      </c>
    </row>
    <row r="50" spans="1:11" x14ac:dyDescent="0.2">
      <c r="A50" s="2">
        <v>46</v>
      </c>
      <c r="B50" s="3">
        <v>1.77008599999999E+52</v>
      </c>
      <c r="C50" s="2">
        <v>2.1639999999999899</v>
      </c>
      <c r="D50" s="2">
        <v>2070</v>
      </c>
      <c r="E50" s="2">
        <v>3.1202999999992498</v>
      </c>
      <c r="F50" s="2">
        <v>1.0000000000000001E-5</v>
      </c>
      <c r="G50" s="3">
        <v>3540000000</v>
      </c>
      <c r="H50" s="82"/>
      <c r="I50" s="70">
        <f t="shared" si="1"/>
        <v>2464.9929397398378</v>
      </c>
      <c r="J50" s="71">
        <f t="shared" si="0"/>
        <v>7468735.4493389046</v>
      </c>
      <c r="K50" s="72">
        <f t="shared" si="2"/>
        <v>1.3372685235695225E+49</v>
      </c>
    </row>
    <row r="51" spans="1:11" x14ac:dyDescent="0.2">
      <c r="A51" s="2">
        <v>47</v>
      </c>
      <c r="B51" s="3">
        <v>1.7800864999999901E+52</v>
      </c>
      <c r="C51" s="2">
        <v>2.1759999999999899</v>
      </c>
      <c r="D51" s="2">
        <v>2080</v>
      </c>
      <c r="E51" s="2">
        <v>3.1313999999992399</v>
      </c>
      <c r="F51" s="2">
        <v>1.0000000000000001E-5</v>
      </c>
      <c r="G51" s="3">
        <v>3560000000</v>
      </c>
      <c r="H51" s="82"/>
      <c r="I51" s="70">
        <f t="shared" si="1"/>
        <v>2475.2268754276433</v>
      </c>
      <c r="J51" s="71">
        <f t="shared" si="0"/>
        <v>7011326.1065022619</v>
      </c>
      <c r="K51" s="72">
        <f t="shared" si="2"/>
        <v>1.2801591074500174E+49</v>
      </c>
    </row>
    <row r="52" spans="1:11" x14ac:dyDescent="0.2">
      <c r="A52" s="2">
        <v>48</v>
      </c>
      <c r="B52" s="3">
        <v>1.79008699999999E+52</v>
      </c>
      <c r="C52" s="2">
        <v>2.18799999999999</v>
      </c>
      <c r="D52" s="2">
        <v>2090</v>
      </c>
      <c r="E52" s="2">
        <v>3.1424999999992398</v>
      </c>
      <c r="F52" s="2">
        <v>1.0000000000000001E-5</v>
      </c>
      <c r="G52" s="3">
        <v>3580000000</v>
      </c>
      <c r="H52" s="82"/>
      <c r="I52" s="70">
        <f t="shared" si="1"/>
        <v>2485.4588457900854</v>
      </c>
      <c r="J52" s="71">
        <f t="shared" si="0"/>
        <v>6584762.927922491</v>
      </c>
      <c r="K52" s="72">
        <f t="shared" si="2"/>
        <v>1.2253539163489799E+49</v>
      </c>
    </row>
    <row r="53" spans="1:11" x14ac:dyDescent="0.2">
      <c r="A53" s="2">
        <v>49</v>
      </c>
      <c r="B53" s="3">
        <v>1.8000874999999901E+52</v>
      </c>
      <c r="C53" s="2">
        <v>2.19999999999999</v>
      </c>
      <c r="D53" s="2">
        <v>2100</v>
      </c>
      <c r="E53" s="2">
        <v>3.1535999999992299</v>
      </c>
      <c r="F53" s="2">
        <v>1.0000000000000001E-5</v>
      </c>
      <c r="G53" s="3">
        <v>3600000000</v>
      </c>
      <c r="H53" s="82"/>
      <c r="I53" s="70">
        <f t="shared" si="1"/>
        <v>2495.6888754900151</v>
      </c>
      <c r="J53" s="71">
        <f t="shared" si="0"/>
        <v>6186785.6055223811</v>
      </c>
      <c r="K53" s="72">
        <f t="shared" si="2"/>
        <v>1.1727668267176252E+49</v>
      </c>
    </row>
    <row r="54" spans="1:11" x14ac:dyDescent="0.2">
      <c r="A54" s="2">
        <v>50</v>
      </c>
      <c r="B54" s="3">
        <v>1.81008799999999E+52</v>
      </c>
      <c r="C54" s="2">
        <v>2.21199999999999</v>
      </c>
      <c r="D54" s="2">
        <v>2110</v>
      </c>
      <c r="E54" s="2">
        <v>3.16469999999922</v>
      </c>
      <c r="F54" s="2">
        <v>1.0000000000000001E-5</v>
      </c>
      <c r="G54" s="3">
        <v>3620000000</v>
      </c>
      <c r="H54" s="82"/>
      <c r="I54" s="70">
        <f t="shared" si="1"/>
        <v>2505.9169887793405</v>
      </c>
      <c r="J54" s="71">
        <f t="shared" si="0"/>
        <v>5815312.0389199639</v>
      </c>
      <c r="K54" s="72">
        <f t="shared" si="2"/>
        <v>1.12231458762336E+49</v>
      </c>
    </row>
    <row r="55" spans="1:11" x14ac:dyDescent="0.2">
      <c r="A55" s="2">
        <v>51</v>
      </c>
      <c r="B55" s="3">
        <v>1.8200884999999901E+52</v>
      </c>
      <c r="C55" s="2">
        <v>2.22399999999999</v>
      </c>
      <c r="D55" s="2">
        <v>2120</v>
      </c>
      <c r="E55" s="2">
        <v>3.1757999999992101</v>
      </c>
      <c r="F55" s="2">
        <v>1.0000000000000001E-5</v>
      </c>
      <c r="G55" s="3">
        <v>3640000000</v>
      </c>
      <c r="H55" s="82"/>
      <c r="I55" s="70">
        <f t="shared" si="1"/>
        <v>2516.1432095075538</v>
      </c>
      <c r="J55" s="71">
        <f t="shared" si="0"/>
        <v>5468423.3332582563</v>
      </c>
      <c r="K55" s="72">
        <f t="shared" si="2"/>
        <v>1.0739167426297323E+49</v>
      </c>
    </row>
    <row r="56" spans="1:11" x14ac:dyDescent="0.2">
      <c r="A56" s="2">
        <v>52</v>
      </c>
      <c r="B56" s="3">
        <v>1.8300889999999899E+52</v>
      </c>
      <c r="C56" s="2">
        <v>2.23599999999999</v>
      </c>
      <c r="D56" s="2">
        <v>2130</v>
      </c>
      <c r="E56" s="2">
        <v>3.1868999999991998</v>
      </c>
      <c r="F56" s="2">
        <v>1.0000000000000001E-5</v>
      </c>
      <c r="G56" s="3">
        <v>3660000000</v>
      </c>
      <c r="H56" s="82"/>
      <c r="I56" s="70">
        <f t="shared" si="1"/>
        <v>2526.3675611300446</v>
      </c>
      <c r="J56" s="71">
        <f t="shared" si="0"/>
        <v>5144350.1372721167</v>
      </c>
      <c r="K56" s="72">
        <f t="shared" si="2"/>
        <v>1.0274955528553009E+49</v>
      </c>
    </row>
    <row r="57" spans="1:11" x14ac:dyDescent="0.2">
      <c r="A57" s="2">
        <v>53</v>
      </c>
      <c r="B57" s="3">
        <v>1.8400894999999901E+52</v>
      </c>
      <c r="C57" s="2">
        <v>2.24799999999999</v>
      </c>
      <c r="D57" s="2">
        <v>2140</v>
      </c>
      <c r="E57" s="2">
        <v>3.1979999999991899</v>
      </c>
      <c r="F57" s="2">
        <v>1.0000000000000001E-5</v>
      </c>
      <c r="G57" s="3">
        <v>3680000000</v>
      </c>
      <c r="H57" s="82"/>
      <c r="I57" s="70">
        <f t="shared" si="1"/>
        <v>2536.590066716205</v>
      </c>
      <c r="J57" s="71">
        <f t="shared" si="0"/>
        <v>4841460.1951743923</v>
      </c>
      <c r="K57" s="72">
        <f t="shared" si="2"/>
        <v>9.8297592125198934E+48</v>
      </c>
    </row>
    <row r="58" spans="1:11" x14ac:dyDescent="0.2">
      <c r="A58" s="2">
        <v>54</v>
      </c>
      <c r="B58" s="3">
        <v>1.8500899999999899E+52</v>
      </c>
      <c r="C58" s="2">
        <v>2.25999999999999</v>
      </c>
      <c r="D58" s="2">
        <v>2150</v>
      </c>
      <c r="E58" s="2">
        <v>3.2090999999991801</v>
      </c>
      <c r="F58" s="2">
        <v>1.0000000000000001E-5</v>
      </c>
      <c r="G58" s="3">
        <v>3700000000</v>
      </c>
      <c r="H58" s="82"/>
      <c r="I58" s="70">
        <f t="shared" si="1"/>
        <v>2546.8107489573385</v>
      </c>
      <c r="J58" s="71">
        <f t="shared" si="0"/>
        <v>4558246.998479398</v>
      </c>
      <c r="K58" s="72">
        <f t="shared" si="2"/>
        <v>9.4028531813853093E+48</v>
      </c>
    </row>
    <row r="59" spans="1:11" x14ac:dyDescent="0.2">
      <c r="A59" s="2">
        <v>55</v>
      </c>
      <c r="B59" s="3">
        <v>1.8600904999999901E+52</v>
      </c>
      <c r="C59" s="2">
        <v>2.27199999999999</v>
      </c>
      <c r="D59" s="2">
        <v>2160</v>
      </c>
      <c r="E59" s="2">
        <v>3.2201999999991702</v>
      </c>
      <c r="F59" s="2">
        <v>1.0000000000000001E-5</v>
      </c>
      <c r="G59" s="3">
        <v>3720000000</v>
      </c>
      <c r="H59" s="82"/>
      <c r="I59" s="70">
        <f t="shared" si="1"/>
        <v>2557.0296301743733</v>
      </c>
      <c r="J59" s="71">
        <f t="shared" si="0"/>
        <v>4293319.4351160731</v>
      </c>
      <c r="K59" s="72">
        <f t="shared" si="2"/>
        <v>8.9935370801994525E+48</v>
      </c>
    </row>
    <row r="60" spans="1:11" x14ac:dyDescent="0.2">
      <c r="A60" s="2">
        <v>56</v>
      </c>
      <c r="B60" s="3">
        <v>1.8700909999999899E+52</v>
      </c>
      <c r="C60" s="2">
        <v>2.28399999999999</v>
      </c>
      <c r="D60" s="2">
        <v>2170</v>
      </c>
      <c r="E60" s="2">
        <v>3.2312999999991598</v>
      </c>
      <c r="F60" s="2">
        <v>1.0000000000000001E-5</v>
      </c>
      <c r="G60" s="3">
        <v>3740000000</v>
      </c>
      <c r="H60" s="82"/>
      <c r="I60" s="70">
        <f t="shared" si="1"/>
        <v>2567.2467323253886</v>
      </c>
      <c r="J60" s="71">
        <f t="shared" si="0"/>
        <v>4045392.3432572749</v>
      </c>
      <c r="K60" s="72">
        <f t="shared" si="2"/>
        <v>8.601134777196993E+48</v>
      </c>
    </row>
    <row r="61" spans="1:11" x14ac:dyDescent="0.2">
      <c r="A61" s="2">
        <v>57</v>
      </c>
      <c r="B61" s="3">
        <v>1.8800914999999901E+52</v>
      </c>
      <c r="C61" s="2">
        <v>2.29599999999999</v>
      </c>
      <c r="D61" s="2">
        <v>2180</v>
      </c>
      <c r="E61" s="2">
        <v>3.24239999999915</v>
      </c>
      <c r="F61" s="2">
        <v>1.0000000000000001E-5</v>
      </c>
      <c r="G61" s="3">
        <v>3760000000</v>
      </c>
      <c r="H61" s="82"/>
      <c r="I61" s="70">
        <f t="shared" si="1"/>
        <v>2577.4620770129586</v>
      </c>
      <c r="J61" s="71">
        <f t="shared" si="0"/>
        <v>3813277.8863293971</v>
      </c>
      <c r="K61" s="72">
        <f t="shared" si="2"/>
        <v>8.224993658471602E+48</v>
      </c>
    </row>
    <row r="62" spans="1:11" x14ac:dyDescent="0.2">
      <c r="A62" s="2">
        <v>58</v>
      </c>
      <c r="B62" s="3">
        <v>1.8900919999999899E+52</v>
      </c>
      <c r="C62" s="2">
        <v>2.3079999999999901</v>
      </c>
      <c r="D62" s="2">
        <v>2190</v>
      </c>
      <c r="E62" s="2">
        <v>3.2534999999991401</v>
      </c>
      <c r="F62" s="2">
        <v>1.0000000000000001E-5</v>
      </c>
      <c r="G62" s="3">
        <v>3780000000</v>
      </c>
      <c r="H62" s="82"/>
      <c r="I62" s="70">
        <f t="shared" si="1"/>
        <v>2587.6756854913169</v>
      </c>
      <c r="J62" s="71">
        <f t="shared" si="0"/>
        <v>3595877.6737794653</v>
      </c>
      <c r="K62" s="72">
        <f t="shared" si="2"/>
        <v>7.8644839361908417E+48</v>
      </c>
    </row>
    <row r="63" spans="1:11" x14ac:dyDescent="0.2">
      <c r="A63" s="2">
        <v>59</v>
      </c>
      <c r="B63" s="3">
        <v>1.90009249999999E+52</v>
      </c>
      <c r="C63" s="2">
        <v>2.3199999999999901</v>
      </c>
      <c r="D63" s="2">
        <v>2200</v>
      </c>
      <c r="E63" s="2">
        <v>3.2645999999991302</v>
      </c>
      <c r="F63" s="2">
        <v>1.0000000000000001E-5</v>
      </c>
      <c r="G63" s="3">
        <v>3800000000</v>
      </c>
      <c r="H63" s="82"/>
      <c r="I63" s="70">
        <f t="shared" si="1"/>
        <v>2597.8875786733511</v>
      </c>
      <c r="J63" s="71">
        <f t="shared" si="0"/>
        <v>3392175.5594644416</v>
      </c>
      <c r="K63" s="72">
        <f t="shared" si="2"/>
        <v>7.5189979705032819E+48</v>
      </c>
    </row>
    <row r="64" spans="1:11" x14ac:dyDescent="0.2">
      <c r="A64" s="2">
        <v>60</v>
      </c>
      <c r="B64" s="3">
        <v>1.9100929999999899E+52</v>
      </c>
      <c r="C64" s="2">
        <v>2.3319999999999901</v>
      </c>
      <c r="D64" s="2">
        <v>2210</v>
      </c>
      <c r="E64" s="2">
        <v>3.2756999999991199</v>
      </c>
      <c r="F64" s="2">
        <v>1.0000000000000001E-5</v>
      </c>
      <c r="G64" s="3">
        <v>3820000000</v>
      </c>
      <c r="H64" s="82"/>
      <c r="I64" s="70">
        <f t="shared" si="1"/>
        <v>2608.0977771374251</v>
      </c>
      <c r="J64" s="71">
        <f t="shared" si="0"/>
        <v>3201231.0560765942</v>
      </c>
      <c r="K64" s="72">
        <f t="shared" si="2"/>
        <v>7.1879496052561028E+48</v>
      </c>
    </row>
    <row r="65" spans="1:11" x14ac:dyDescent="0.2">
      <c r="A65" s="2">
        <v>61</v>
      </c>
      <c r="B65" s="3">
        <v>1.92009349999999E+52</v>
      </c>
      <c r="C65" s="2">
        <v>2.3439999999999901</v>
      </c>
      <c r="D65" s="2">
        <v>2220</v>
      </c>
      <c r="E65" s="2">
        <v>3.28679999999911</v>
      </c>
      <c r="F65" s="2">
        <v>1.0000000000000001E-5</v>
      </c>
      <c r="G65" s="3">
        <v>3840000000</v>
      </c>
      <c r="H65" s="82"/>
      <c r="I65" s="70">
        <f t="shared" si="1"/>
        <v>2618.3063011340441</v>
      </c>
      <c r="J65" s="71">
        <f t="shared" si="0"/>
        <v>3022173.3099087169</v>
      </c>
      <c r="K65" s="72">
        <f t="shared" si="2"/>
        <v>6.870773517610083E+48</v>
      </c>
    </row>
    <row r="66" spans="1:11" x14ac:dyDescent="0.2">
      <c r="A66" s="2">
        <v>62</v>
      </c>
      <c r="B66" s="3">
        <v>1.9300939999999899E+52</v>
      </c>
      <c r="C66" s="2">
        <v>2.3559999999999901</v>
      </c>
      <c r="D66" s="2">
        <v>2230</v>
      </c>
      <c r="E66" s="2">
        <v>3.2978999999991001</v>
      </c>
      <c r="F66" s="2">
        <v>1.0000000000000001E-5</v>
      </c>
      <c r="G66" s="3">
        <v>3860000000</v>
      </c>
      <c r="H66" s="82"/>
      <c r="I66" s="70">
        <f t="shared" si="1"/>
        <v>2628.5131705923582</v>
      </c>
      <c r="J66" s="71">
        <f t="shared" si="0"/>
        <v>2854195.5855615102</v>
      </c>
      <c r="K66" s="72">
        <f t="shared" si="2"/>
        <v>6.5669245816094097E+48</v>
      </c>
    </row>
    <row r="67" spans="1:11" x14ac:dyDescent="0.2">
      <c r="A67" s="2">
        <v>63</v>
      </c>
      <c r="B67" s="3">
        <v>1.94009449999999E+52</v>
      </c>
      <c r="C67" s="2">
        <v>2.3679999999999901</v>
      </c>
      <c r="D67" s="2">
        <v>2240</v>
      </c>
      <c r="E67" s="2">
        <v>3.3089999999990898</v>
      </c>
      <c r="F67" s="2">
        <v>1.0000000000000001E-5</v>
      </c>
      <c r="G67" s="3">
        <v>3880000000</v>
      </c>
      <c r="H67" s="82"/>
      <c r="I67" s="70">
        <f t="shared" si="1"/>
        <v>2638.7184051265085</v>
      </c>
      <c r="J67" s="71">
        <f t="shared" si="0"/>
        <v>2696550.214966367</v>
      </c>
      <c r="K67" s="72">
        <f t="shared" si="2"/>
        <v>6.2758772457366693E+48</v>
      </c>
    </row>
  </sheetData>
  <phoneticPr fontId="0" type="noConversion"/>
  <pageMargins left="0.75" right="0.75" top="1" bottom="1" header="0.5" footer="0.5"/>
  <pageSetup paperSize="9" orientation="landscape" horizontalDpi="4294967294"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100"/>
  <sheetViews>
    <sheetView workbookViewId="0">
      <selection activeCell="G6" sqref="G6"/>
    </sheetView>
  </sheetViews>
  <sheetFormatPr defaultRowHeight="12.75" x14ac:dyDescent="0.2"/>
  <cols>
    <col min="1" max="1" width="2.85546875" customWidth="1"/>
    <col min="2" max="2" width="7.5703125" customWidth="1"/>
    <col min="4" max="4" width="4" bestFit="1" customWidth="1"/>
    <col min="5" max="5" width="7.85546875" customWidth="1"/>
    <col min="6" max="6" width="10.28515625" customWidth="1"/>
    <col min="7" max="7" width="6.140625" customWidth="1"/>
    <col min="8" max="8" width="6.28515625" customWidth="1"/>
    <col min="9" max="9" width="3.7109375" customWidth="1"/>
  </cols>
  <sheetData>
    <row r="1" spans="1:12" ht="39.75" customHeight="1" x14ac:dyDescent="0.2">
      <c r="A1" s="117" t="s">
        <v>63</v>
      </c>
      <c r="B1" s="117"/>
      <c r="C1" s="117"/>
      <c r="D1" s="117"/>
      <c r="E1" s="117"/>
      <c r="F1" s="117"/>
      <c r="G1" s="117"/>
    </row>
    <row r="2" spans="1:12" x14ac:dyDescent="0.2">
      <c r="A2" s="25" t="s">
        <v>32</v>
      </c>
    </row>
    <row r="3" spans="1:12" ht="30.75" customHeight="1" thickBot="1" x14ac:dyDescent="0.25">
      <c r="A3" s="118" t="s">
        <v>64</v>
      </c>
      <c r="B3" s="118"/>
      <c r="C3" s="118"/>
      <c r="D3" s="118"/>
      <c r="E3" s="118"/>
      <c r="F3" s="118"/>
      <c r="G3" s="118"/>
      <c r="I3" s="75" t="s">
        <v>65</v>
      </c>
    </row>
    <row r="4" spans="1:12" ht="15" thickBot="1" x14ac:dyDescent="0.25">
      <c r="A4" s="103" t="s">
        <v>25</v>
      </c>
      <c r="B4" s="103" t="s">
        <v>26</v>
      </c>
      <c r="C4" s="103" t="s">
        <v>27</v>
      </c>
      <c r="D4" s="103" t="s">
        <v>28</v>
      </c>
      <c r="E4" s="103" t="s">
        <v>29</v>
      </c>
      <c r="F4" s="104" t="s">
        <v>13</v>
      </c>
      <c r="G4" s="103" t="s">
        <v>30</v>
      </c>
      <c r="I4" s="73" t="s">
        <v>25</v>
      </c>
      <c r="J4" s="26" t="s">
        <v>26</v>
      </c>
      <c r="K4" s="26" t="s">
        <v>27</v>
      </c>
      <c r="L4" s="74" t="s">
        <v>62</v>
      </c>
    </row>
    <row r="5" spans="1:12" x14ac:dyDescent="0.2">
      <c r="A5" s="2">
        <v>0</v>
      </c>
      <c r="B5" s="2">
        <v>1</v>
      </c>
      <c r="C5" s="2">
        <f>(EXP(B5)-2-B5)^2</f>
        <v>7.9365128176378891E-2</v>
      </c>
      <c r="D5" s="29">
        <f>$G$5</f>
        <v>0.01</v>
      </c>
      <c r="E5" s="100">
        <f>B6-B5</f>
        <v>1.0000000000000009E-2</v>
      </c>
      <c r="F5" s="105">
        <v>1.0000000000000001E-5</v>
      </c>
      <c r="G5" s="106">
        <v>0.01</v>
      </c>
      <c r="I5" s="56">
        <v>0</v>
      </c>
      <c r="J5" s="56">
        <f>B5</f>
        <v>1</v>
      </c>
      <c r="K5" s="56">
        <f t="shared" ref="K5:K35" si="0">(EXP(J5)-2-J5)^2</f>
        <v>7.9365128176378891E-2</v>
      </c>
      <c r="L5" s="56">
        <v>0.01</v>
      </c>
    </row>
    <row r="6" spans="1:12" x14ac:dyDescent="0.2">
      <c r="A6" s="2">
        <v>1</v>
      </c>
      <c r="B6" s="2">
        <f>B5+$G$5</f>
        <v>1.01</v>
      </c>
      <c r="C6" s="2">
        <f t="shared" ref="C6:C7" si="1">(EXP(B6)-2-B6)^2</f>
        <v>6.9906823260084905E-2</v>
      </c>
      <c r="D6" s="29">
        <f t="shared" ref="D6:D69" si="2">$G$5</f>
        <v>0.01</v>
      </c>
      <c r="E6" s="100">
        <f>B6-B5</f>
        <v>1.0000000000000009E-2</v>
      </c>
      <c r="F6" s="107" t="s">
        <v>31</v>
      </c>
      <c r="I6" s="2">
        <v>1</v>
      </c>
      <c r="J6" s="2">
        <f>J5+$L$5</f>
        <v>1.01</v>
      </c>
      <c r="K6" s="2">
        <f t="shared" si="0"/>
        <v>6.9906823260084905E-2</v>
      </c>
    </row>
    <row r="7" spans="1:12" x14ac:dyDescent="0.2">
      <c r="A7" s="2">
        <v>2</v>
      </c>
      <c r="B7" s="2">
        <f>IF(C6&lt;C5,B6+$G$5,B6)</f>
        <v>1.02</v>
      </c>
      <c r="C7" s="2">
        <f t="shared" si="1"/>
        <v>6.0912824534638706E-2</v>
      </c>
      <c r="D7" s="29">
        <f t="shared" si="2"/>
        <v>0.01</v>
      </c>
      <c r="E7" s="100">
        <f t="shared" ref="E7" si="3">B7-B6</f>
        <v>1.0000000000000009E-2</v>
      </c>
      <c r="F7" s="2">
        <v>1.1461932206205827</v>
      </c>
      <c r="I7" s="2">
        <v>2</v>
      </c>
      <c r="J7" s="2">
        <f t="shared" ref="J7:J35" si="4">J6+$L$5</f>
        <v>1.02</v>
      </c>
      <c r="K7" s="2">
        <f t="shared" si="0"/>
        <v>6.0912824534638706E-2</v>
      </c>
    </row>
    <row r="8" spans="1:12" x14ac:dyDescent="0.2">
      <c r="A8" s="56">
        <v>3</v>
      </c>
      <c r="B8" s="56">
        <f t="shared" ref="B8:B35" si="5">IF(C7&lt;C6,B7+$G$5,B7)</f>
        <v>1.03</v>
      </c>
      <c r="C8" s="56">
        <f t="shared" ref="C8:C35" si="6">(EXP(B8)-2-B8)^2</f>
        <v>5.2410852042029388E-2</v>
      </c>
      <c r="D8" s="101">
        <f t="shared" si="2"/>
        <v>0.01</v>
      </c>
      <c r="E8" s="102">
        <f t="shared" ref="E8:E35" si="7">B8-B7</f>
        <v>1.0000000000000009E-2</v>
      </c>
      <c r="I8" s="2">
        <v>3</v>
      </c>
      <c r="J8" s="2">
        <f t="shared" si="4"/>
        <v>1.03</v>
      </c>
      <c r="K8" s="2">
        <f t="shared" si="0"/>
        <v>5.2410852042029388E-2</v>
      </c>
    </row>
    <row r="9" spans="1:12" x14ac:dyDescent="0.2">
      <c r="A9" s="2">
        <v>4</v>
      </c>
      <c r="B9" s="2">
        <f t="shared" si="5"/>
        <v>1.04</v>
      </c>
      <c r="C9" s="2">
        <f t="shared" si="6"/>
        <v>4.442946703887056E-2</v>
      </c>
      <c r="D9" s="29">
        <f t="shared" si="2"/>
        <v>0.01</v>
      </c>
      <c r="E9" s="100">
        <f t="shared" si="7"/>
        <v>1.0000000000000009E-2</v>
      </c>
      <c r="I9" s="2">
        <v>4</v>
      </c>
      <c r="J9" s="2">
        <f t="shared" si="4"/>
        <v>1.04</v>
      </c>
      <c r="K9" s="2">
        <f t="shared" si="0"/>
        <v>4.442946703887056E-2</v>
      </c>
    </row>
    <row r="10" spans="1:12" x14ac:dyDescent="0.2">
      <c r="A10" s="2">
        <v>5</v>
      </c>
      <c r="B10" s="2">
        <f t="shared" si="5"/>
        <v>1.05</v>
      </c>
      <c r="C10" s="2">
        <f t="shared" si="6"/>
        <v>3.6998092382350946E-2</v>
      </c>
      <c r="D10" s="29">
        <f t="shared" si="2"/>
        <v>0.01</v>
      </c>
      <c r="E10" s="100">
        <f t="shared" si="7"/>
        <v>1.0000000000000009E-2</v>
      </c>
      <c r="I10" s="2">
        <v>5</v>
      </c>
      <c r="J10" s="2">
        <f t="shared" si="4"/>
        <v>1.05</v>
      </c>
      <c r="K10" s="2">
        <f t="shared" si="0"/>
        <v>3.6998092382350946E-2</v>
      </c>
    </row>
    <row r="11" spans="1:12" x14ac:dyDescent="0.2">
      <c r="A11" s="2">
        <v>6</v>
      </c>
      <c r="B11" s="2">
        <f t="shared" si="5"/>
        <v>1.06</v>
      </c>
      <c r="C11" s="2">
        <f t="shared" si="6"/>
        <v>3.0147033367787388E-2</v>
      </c>
      <c r="D11" s="29">
        <f t="shared" si="2"/>
        <v>0.01</v>
      </c>
      <c r="E11" s="100">
        <f t="shared" si="7"/>
        <v>1.0000000000000009E-2</v>
      </c>
      <c r="I11" s="2">
        <v>6</v>
      </c>
      <c r="J11" s="2">
        <f t="shared" si="4"/>
        <v>1.06</v>
      </c>
      <c r="K11" s="2">
        <f t="shared" si="0"/>
        <v>3.0147033367787388E-2</v>
      </c>
    </row>
    <row r="12" spans="1:12" x14ac:dyDescent="0.2">
      <c r="A12" s="2">
        <v>7</v>
      </c>
      <c r="B12" s="2">
        <f t="shared" si="5"/>
        <v>1.07</v>
      </c>
      <c r="C12" s="2">
        <f t="shared" si="6"/>
        <v>2.3907499027363534E-2</v>
      </c>
      <c r="D12" s="29">
        <f t="shared" si="2"/>
        <v>0.01</v>
      </c>
      <c r="E12" s="100">
        <f t="shared" si="7"/>
        <v>1.0000000000000009E-2</v>
      </c>
      <c r="I12" s="2">
        <v>7</v>
      </c>
      <c r="J12" s="2">
        <f t="shared" si="4"/>
        <v>1.07</v>
      </c>
      <c r="K12" s="2">
        <f t="shared" si="0"/>
        <v>2.3907499027363534E-2</v>
      </c>
    </row>
    <row r="13" spans="1:12" x14ac:dyDescent="0.2">
      <c r="A13" s="2">
        <v>8</v>
      </c>
      <c r="B13" s="2">
        <f t="shared" si="5"/>
        <v>1.08</v>
      </c>
      <c r="C13" s="2">
        <f t="shared" si="6"/>
        <v>1.8311623899828107E-2</v>
      </c>
      <c r="D13" s="29">
        <f t="shared" si="2"/>
        <v>0.01</v>
      </c>
      <c r="E13" s="100">
        <f t="shared" si="7"/>
        <v>1.0000000000000009E-2</v>
      </c>
      <c r="I13" s="2">
        <v>8</v>
      </c>
      <c r="J13" s="2">
        <f t="shared" si="4"/>
        <v>1.08</v>
      </c>
      <c r="K13" s="2">
        <f t="shared" si="0"/>
        <v>1.8311623899828107E-2</v>
      </c>
    </row>
    <row r="14" spans="1:12" x14ac:dyDescent="0.2">
      <c r="A14" s="2">
        <v>9</v>
      </c>
      <c r="B14" s="2">
        <f t="shared" si="5"/>
        <v>1.0900000000000001</v>
      </c>
      <c r="C14" s="2">
        <f t="shared" si="6"/>
        <v>1.3392490281138616E-2</v>
      </c>
      <c r="D14" s="29">
        <f t="shared" si="2"/>
        <v>0.01</v>
      </c>
      <c r="E14" s="100">
        <f t="shared" si="7"/>
        <v>1.0000000000000009E-2</v>
      </c>
      <c r="I14" s="2">
        <v>9</v>
      </c>
      <c r="J14" s="2">
        <f t="shared" si="4"/>
        <v>1.0900000000000001</v>
      </c>
      <c r="K14" s="2">
        <f t="shared" si="0"/>
        <v>1.3392490281138616E-2</v>
      </c>
    </row>
    <row r="15" spans="1:12" x14ac:dyDescent="0.2">
      <c r="A15" s="2">
        <v>10</v>
      </c>
      <c r="B15" s="2">
        <f t="shared" si="5"/>
        <v>1.1000000000000001</v>
      </c>
      <c r="C15" s="2">
        <f t="shared" si="6"/>
        <v>9.1841509662355953E-3</v>
      </c>
      <c r="D15" s="29">
        <f t="shared" si="2"/>
        <v>0.01</v>
      </c>
      <c r="E15" s="100">
        <f t="shared" si="7"/>
        <v>1.0000000000000009E-2</v>
      </c>
      <c r="I15" s="2">
        <v>10</v>
      </c>
      <c r="J15" s="2">
        <f t="shared" si="4"/>
        <v>1.1000000000000001</v>
      </c>
      <c r="K15" s="2">
        <f t="shared" si="0"/>
        <v>9.1841509662355953E-3</v>
      </c>
    </row>
    <row r="16" spans="1:12" x14ac:dyDescent="0.2">
      <c r="A16" s="2">
        <v>11</v>
      </c>
      <c r="B16" s="2">
        <f t="shared" si="5"/>
        <v>1.1100000000000001</v>
      </c>
      <c r="C16" s="2">
        <f t="shared" si="6"/>
        <v>5.7216524923488186E-3</v>
      </c>
      <c r="D16" s="29">
        <f t="shared" si="2"/>
        <v>0.01</v>
      </c>
      <c r="E16" s="100">
        <f t="shared" si="7"/>
        <v>1.0000000000000009E-2</v>
      </c>
      <c r="I16" s="2">
        <v>11</v>
      </c>
      <c r="J16" s="2">
        <f t="shared" si="4"/>
        <v>1.1100000000000001</v>
      </c>
      <c r="K16" s="2">
        <f t="shared" si="0"/>
        <v>5.7216524923488186E-3</v>
      </c>
    </row>
    <row r="17" spans="1:11" x14ac:dyDescent="0.2">
      <c r="A17" s="2">
        <v>12</v>
      </c>
      <c r="B17" s="2">
        <f t="shared" si="5"/>
        <v>1.1200000000000001</v>
      </c>
      <c r="C17" s="2">
        <f t="shared" si="6"/>
        <v>3.0410588944495194E-3</v>
      </c>
      <c r="D17" s="29">
        <f t="shared" si="2"/>
        <v>0.01</v>
      </c>
      <c r="E17" s="100">
        <f t="shared" si="7"/>
        <v>1.0000000000000009E-2</v>
      </c>
      <c r="I17" s="2">
        <v>12</v>
      </c>
      <c r="J17" s="2">
        <f t="shared" si="4"/>
        <v>1.1200000000000001</v>
      </c>
      <c r="K17" s="2">
        <f t="shared" si="0"/>
        <v>3.0410588944495194E-3</v>
      </c>
    </row>
    <row r="18" spans="1:11" x14ac:dyDescent="0.2">
      <c r="A18" s="2">
        <v>13</v>
      </c>
      <c r="B18" s="2">
        <f t="shared" si="5"/>
        <v>1.1300000000000001</v>
      </c>
      <c r="C18" s="2">
        <f t="shared" si="6"/>
        <v>1.1794759836839266E-3</v>
      </c>
      <c r="D18" s="29">
        <f t="shared" si="2"/>
        <v>0.01</v>
      </c>
      <c r="E18" s="100">
        <f t="shared" si="7"/>
        <v>1.0000000000000009E-2</v>
      </c>
      <c r="I18" s="2">
        <v>13</v>
      </c>
      <c r="J18" s="2">
        <f t="shared" si="4"/>
        <v>1.1300000000000001</v>
      </c>
      <c r="K18" s="2">
        <f t="shared" si="0"/>
        <v>1.1794759836839266E-3</v>
      </c>
    </row>
    <row r="19" spans="1:11" x14ac:dyDescent="0.2">
      <c r="A19" s="2">
        <v>14</v>
      </c>
      <c r="B19" s="2">
        <f t="shared" si="5"/>
        <v>1.1400000000000001</v>
      </c>
      <c r="C19" s="2">
        <f t="shared" si="6"/>
        <v>1.7507615984692666E-4</v>
      </c>
      <c r="D19" s="29">
        <f t="shared" si="2"/>
        <v>0.01</v>
      </c>
      <c r="E19" s="100">
        <f t="shared" si="7"/>
        <v>1.0000000000000009E-2</v>
      </c>
      <c r="I19" s="2">
        <v>14</v>
      </c>
      <c r="J19" s="2">
        <f t="shared" si="4"/>
        <v>1.1400000000000001</v>
      </c>
      <c r="K19" s="2">
        <f t="shared" si="0"/>
        <v>1.7507615984692666E-4</v>
      </c>
    </row>
    <row r="20" spans="1:11" x14ac:dyDescent="0.2">
      <c r="A20" s="2">
        <v>15</v>
      </c>
      <c r="B20" s="2">
        <f t="shared" si="5"/>
        <v>1.1500000000000001</v>
      </c>
      <c r="C20" s="2">
        <f t="shared" si="6"/>
        <v>6.712376918469333E-5</v>
      </c>
      <c r="D20" s="29">
        <f t="shared" si="2"/>
        <v>0.01</v>
      </c>
      <c r="E20" s="100">
        <f t="shared" si="7"/>
        <v>1.0000000000000009E-2</v>
      </c>
      <c r="I20" s="2">
        <v>15</v>
      </c>
      <c r="J20" s="2">
        <f t="shared" si="4"/>
        <v>1.1500000000000001</v>
      </c>
      <c r="K20" s="2">
        <f t="shared" si="0"/>
        <v>6.712376918469333E-5</v>
      </c>
    </row>
    <row r="21" spans="1:11" x14ac:dyDescent="0.2">
      <c r="A21" s="2">
        <v>16</v>
      </c>
      <c r="B21" s="2">
        <f t="shared" si="5"/>
        <v>1.1600000000000001</v>
      </c>
      <c r="C21" s="2">
        <f t="shared" si="6"/>
        <v>8.9600101904775892E-4</v>
      </c>
      <c r="D21" s="29">
        <f t="shared" si="2"/>
        <v>0.01</v>
      </c>
      <c r="E21" s="100">
        <f t="shared" si="7"/>
        <v>1.0000000000000009E-2</v>
      </c>
      <c r="I21" s="2">
        <v>16</v>
      </c>
      <c r="J21" s="2">
        <f t="shared" si="4"/>
        <v>1.1600000000000001</v>
      </c>
      <c r="K21" s="2">
        <f t="shared" si="0"/>
        <v>8.9600101904775892E-4</v>
      </c>
    </row>
    <row r="22" spans="1:11" x14ac:dyDescent="0.2">
      <c r="A22" s="2">
        <v>17</v>
      </c>
      <c r="B22" s="2">
        <f t="shared" si="5"/>
        <v>1.1600000000000001</v>
      </c>
      <c r="C22" s="2">
        <f t="shared" si="6"/>
        <v>8.9600101904775892E-4</v>
      </c>
      <c r="D22" s="29">
        <f t="shared" si="2"/>
        <v>0.01</v>
      </c>
      <c r="E22" s="100">
        <f t="shared" si="7"/>
        <v>0</v>
      </c>
      <c r="I22" s="2">
        <v>17</v>
      </c>
      <c r="J22" s="2">
        <f t="shared" si="4"/>
        <v>1.1700000000000002</v>
      </c>
      <c r="K22" s="2">
        <f t="shared" si="0"/>
        <v>2.7032344611552972E-3</v>
      </c>
    </row>
    <row r="23" spans="1:11" x14ac:dyDescent="0.2">
      <c r="A23" s="2">
        <v>18</v>
      </c>
      <c r="B23" s="2">
        <f t="shared" si="5"/>
        <v>1.1600000000000001</v>
      </c>
      <c r="C23" s="2">
        <f t="shared" si="6"/>
        <v>8.9600101904775892E-4</v>
      </c>
      <c r="D23" s="29">
        <f t="shared" si="2"/>
        <v>0.01</v>
      </c>
      <c r="E23" s="100">
        <f t="shared" si="7"/>
        <v>0</v>
      </c>
      <c r="I23" s="2">
        <v>18</v>
      </c>
      <c r="J23" s="2">
        <f t="shared" si="4"/>
        <v>1.1800000000000002</v>
      </c>
      <c r="K23" s="2">
        <f t="shared" si="0"/>
        <v>5.5315220554739471E-3</v>
      </c>
    </row>
    <row r="24" spans="1:11" x14ac:dyDescent="0.2">
      <c r="A24" s="2">
        <v>19</v>
      </c>
      <c r="B24" s="2">
        <f t="shared" si="5"/>
        <v>1.1600000000000001</v>
      </c>
      <c r="C24" s="2">
        <f t="shared" si="6"/>
        <v>8.9600101904775892E-4</v>
      </c>
      <c r="D24" s="29">
        <f t="shared" si="2"/>
        <v>0.01</v>
      </c>
      <c r="E24" s="100">
        <f t="shared" si="7"/>
        <v>0</v>
      </c>
      <c r="I24" s="2">
        <v>19</v>
      </c>
      <c r="J24" s="2">
        <f t="shared" si="4"/>
        <v>1.1900000000000002</v>
      </c>
      <c r="K24" s="2">
        <f t="shared" si="0"/>
        <v>9.4247608269640917E-3</v>
      </c>
    </row>
    <row r="25" spans="1:11" x14ac:dyDescent="0.2">
      <c r="A25" s="2">
        <v>20</v>
      </c>
      <c r="B25" s="2">
        <f t="shared" si="5"/>
        <v>1.1600000000000001</v>
      </c>
      <c r="C25" s="2">
        <f t="shared" si="6"/>
        <v>8.9600101904775892E-4</v>
      </c>
      <c r="D25" s="29">
        <f t="shared" si="2"/>
        <v>0.01</v>
      </c>
      <c r="E25" s="100">
        <f t="shared" si="7"/>
        <v>0</v>
      </c>
      <c r="I25" s="2">
        <v>20</v>
      </c>
      <c r="J25" s="2">
        <f t="shared" si="4"/>
        <v>1.2000000000000002</v>
      </c>
      <c r="K25" s="2">
        <f t="shared" si="0"/>
        <v>1.442807512769783E-2</v>
      </c>
    </row>
    <row r="26" spans="1:11" x14ac:dyDescent="0.2">
      <c r="A26" s="2">
        <v>21</v>
      </c>
      <c r="B26" s="2">
        <f t="shared" si="5"/>
        <v>1.1600000000000001</v>
      </c>
      <c r="C26" s="2">
        <f t="shared" si="6"/>
        <v>8.9600101904775892E-4</v>
      </c>
      <c r="D26" s="29">
        <f t="shared" si="2"/>
        <v>0.01</v>
      </c>
      <c r="E26" s="100">
        <f t="shared" si="7"/>
        <v>0</v>
      </c>
      <c r="I26" s="2">
        <v>21</v>
      </c>
      <c r="J26" s="2">
        <f t="shared" si="4"/>
        <v>1.2100000000000002</v>
      </c>
      <c r="K26" s="2">
        <f t="shared" si="0"/>
        <v>2.058784551711423E-2</v>
      </c>
    </row>
    <row r="27" spans="1:11" x14ac:dyDescent="0.2">
      <c r="A27" s="2">
        <v>22</v>
      </c>
      <c r="B27" s="2">
        <f t="shared" si="5"/>
        <v>1.1600000000000001</v>
      </c>
      <c r="C27" s="2">
        <f t="shared" si="6"/>
        <v>8.9600101904775892E-4</v>
      </c>
      <c r="D27" s="29">
        <f t="shared" si="2"/>
        <v>0.01</v>
      </c>
      <c r="E27" s="100">
        <f t="shared" si="7"/>
        <v>0</v>
      </c>
      <c r="I27" s="2">
        <v>22</v>
      </c>
      <c r="J27" s="2">
        <f t="shared" si="4"/>
        <v>1.2200000000000002</v>
      </c>
      <c r="K27" s="2">
        <f t="shared" si="0"/>
        <v>2.7951738273438467E-2</v>
      </c>
    </row>
    <row r="28" spans="1:11" x14ac:dyDescent="0.2">
      <c r="A28" s="2">
        <v>23</v>
      </c>
      <c r="B28" s="2">
        <f t="shared" si="5"/>
        <v>1.1600000000000001</v>
      </c>
      <c r="C28" s="2">
        <f t="shared" si="6"/>
        <v>8.9600101904775892E-4</v>
      </c>
      <c r="D28" s="29">
        <f t="shared" si="2"/>
        <v>0.01</v>
      </c>
      <c r="E28" s="100">
        <f t="shared" si="7"/>
        <v>0</v>
      </c>
      <c r="I28" s="2">
        <v>23</v>
      </c>
      <c r="J28" s="2">
        <f t="shared" si="4"/>
        <v>1.2300000000000002</v>
      </c>
      <c r="K28" s="2">
        <f t="shared" si="0"/>
        <v>3.6568735549563781E-2</v>
      </c>
    </row>
    <row r="29" spans="1:11" x14ac:dyDescent="0.2">
      <c r="A29" s="2">
        <v>24</v>
      </c>
      <c r="B29" s="2">
        <f t="shared" si="5"/>
        <v>1.1600000000000001</v>
      </c>
      <c r="C29" s="2">
        <f t="shared" si="6"/>
        <v>8.9600101904775892E-4</v>
      </c>
      <c r="D29" s="29">
        <f t="shared" si="2"/>
        <v>0.01</v>
      </c>
      <c r="E29" s="100">
        <f t="shared" si="7"/>
        <v>0</v>
      </c>
      <c r="I29" s="2">
        <v>24</v>
      </c>
      <c r="J29" s="2">
        <f t="shared" si="4"/>
        <v>1.2400000000000002</v>
      </c>
      <c r="K29" s="2">
        <f t="shared" si="0"/>
        <v>4.6489166186965802E-2</v>
      </c>
    </row>
    <row r="30" spans="1:11" x14ac:dyDescent="0.2">
      <c r="A30" s="2">
        <v>25</v>
      </c>
      <c r="B30" s="2">
        <f t="shared" si="5"/>
        <v>1.1600000000000001</v>
      </c>
      <c r="C30" s="2">
        <f t="shared" si="6"/>
        <v>8.9600101904775892E-4</v>
      </c>
      <c r="D30" s="29">
        <f t="shared" si="2"/>
        <v>0.01</v>
      </c>
      <c r="E30" s="100">
        <f t="shared" si="7"/>
        <v>0</v>
      </c>
      <c r="I30" s="2">
        <v>25</v>
      </c>
      <c r="J30" s="2">
        <f t="shared" si="4"/>
        <v>1.2500000000000002</v>
      </c>
      <c r="K30" s="2">
        <f t="shared" si="0"/>
        <v>5.7764737201504837E-2</v>
      </c>
    </row>
    <row r="31" spans="1:11" x14ac:dyDescent="0.2">
      <c r="A31" s="2">
        <v>26</v>
      </c>
      <c r="B31" s="2">
        <f t="shared" si="5"/>
        <v>1.1600000000000001</v>
      </c>
      <c r="C31" s="2">
        <f t="shared" si="6"/>
        <v>8.9600101904775892E-4</v>
      </c>
      <c r="D31" s="29">
        <f t="shared" si="2"/>
        <v>0.01</v>
      </c>
      <c r="E31" s="100">
        <f t="shared" si="7"/>
        <v>0</v>
      </c>
      <c r="I31" s="2">
        <v>26</v>
      </c>
      <c r="J31" s="2">
        <f t="shared" si="4"/>
        <v>1.2600000000000002</v>
      </c>
      <c r="K31" s="2">
        <f t="shared" si="0"/>
        <v>7.0448565955251966E-2</v>
      </c>
    </row>
    <row r="32" spans="1:11" x14ac:dyDescent="0.2">
      <c r="A32" s="2">
        <v>27</v>
      </c>
      <c r="B32" s="2">
        <f t="shared" si="5"/>
        <v>1.1600000000000001</v>
      </c>
      <c r="C32" s="2">
        <f t="shared" si="6"/>
        <v>8.9600101904775892E-4</v>
      </c>
      <c r="D32" s="29">
        <f t="shared" si="2"/>
        <v>0.01</v>
      </c>
      <c r="E32" s="100">
        <f t="shared" si="7"/>
        <v>0</v>
      </c>
      <c r="I32" s="2">
        <v>27</v>
      </c>
      <c r="J32" s="2">
        <f t="shared" si="4"/>
        <v>1.2700000000000002</v>
      </c>
      <c r="K32" s="2">
        <f t="shared" si="0"/>
        <v>8.459521302877232E-2</v>
      </c>
    </row>
    <row r="33" spans="1:11" x14ac:dyDescent="0.2">
      <c r="A33" s="2">
        <v>28</v>
      </c>
      <c r="B33" s="2">
        <f t="shared" si="5"/>
        <v>1.1600000000000001</v>
      </c>
      <c r="C33" s="2">
        <f t="shared" si="6"/>
        <v>8.9600101904775892E-4</v>
      </c>
      <c r="D33" s="29">
        <f t="shared" si="2"/>
        <v>0.01</v>
      </c>
      <c r="E33" s="100">
        <f t="shared" si="7"/>
        <v>0</v>
      </c>
      <c r="I33" s="2">
        <v>28</v>
      </c>
      <c r="J33" s="2">
        <f t="shared" si="4"/>
        <v>1.2800000000000002</v>
      </c>
      <c r="K33" s="2">
        <f t="shared" si="0"/>
        <v>0.10026071580859042</v>
      </c>
    </row>
    <row r="34" spans="1:11" x14ac:dyDescent="0.2">
      <c r="A34" s="2">
        <v>29</v>
      </c>
      <c r="B34" s="2">
        <f t="shared" si="5"/>
        <v>1.1600000000000001</v>
      </c>
      <c r="C34" s="2">
        <f t="shared" si="6"/>
        <v>8.9600101904775892E-4</v>
      </c>
      <c r="D34" s="29">
        <f t="shared" si="2"/>
        <v>0.01</v>
      </c>
      <c r="E34" s="100">
        <f t="shared" si="7"/>
        <v>0</v>
      </c>
      <c r="I34" s="2">
        <v>29</v>
      </c>
      <c r="J34" s="2">
        <f t="shared" si="4"/>
        <v>1.2900000000000003</v>
      </c>
      <c r="K34" s="2">
        <f t="shared" si="0"/>
        <v>0.11750262280487403</v>
      </c>
    </row>
    <row r="35" spans="1:11" x14ac:dyDescent="0.2">
      <c r="A35" s="2">
        <v>30</v>
      </c>
      <c r="B35" s="2">
        <f t="shared" si="5"/>
        <v>1.1600000000000001</v>
      </c>
      <c r="C35" s="2">
        <f t="shared" si="6"/>
        <v>8.9600101904775892E-4</v>
      </c>
      <c r="D35" s="29">
        <f t="shared" si="2"/>
        <v>0.01</v>
      </c>
      <c r="E35" s="100">
        <f t="shared" si="7"/>
        <v>0</v>
      </c>
      <c r="I35" s="2">
        <v>30</v>
      </c>
      <c r="J35" s="2">
        <f t="shared" si="4"/>
        <v>1.3000000000000003</v>
      </c>
      <c r="K35" s="2">
        <f t="shared" si="0"/>
        <v>0.13638002871467916</v>
      </c>
    </row>
    <row r="36" spans="1:11" x14ac:dyDescent="0.2">
      <c r="A36" s="2">
        <v>31</v>
      </c>
      <c r="B36" s="2">
        <f t="shared" ref="B36:B99" si="8">IF(C35&lt;C34,B35+$G$5,B35)</f>
        <v>1.1600000000000001</v>
      </c>
      <c r="C36" s="2">
        <f t="shared" ref="C36:C99" si="9">(EXP(B36)-2-B36)^2</f>
        <v>8.9600101904775892E-4</v>
      </c>
      <c r="D36" s="29">
        <f t="shared" si="2"/>
        <v>0.01</v>
      </c>
      <c r="E36" s="100">
        <f t="shared" ref="E36:E99" si="10">B36-B35</f>
        <v>0</v>
      </c>
    </row>
    <row r="37" spans="1:11" x14ac:dyDescent="0.2">
      <c r="A37" s="2">
        <v>32</v>
      </c>
      <c r="B37" s="2">
        <f t="shared" si="8"/>
        <v>1.1600000000000001</v>
      </c>
      <c r="C37" s="2">
        <f t="shared" si="9"/>
        <v>8.9600101904775892E-4</v>
      </c>
      <c r="D37" s="29">
        <f t="shared" si="2"/>
        <v>0.01</v>
      </c>
      <c r="E37" s="100">
        <f t="shared" si="10"/>
        <v>0</v>
      </c>
    </row>
    <row r="38" spans="1:11" x14ac:dyDescent="0.2">
      <c r="A38" s="2">
        <v>33</v>
      </c>
      <c r="B38" s="2">
        <f t="shared" si="8"/>
        <v>1.1600000000000001</v>
      </c>
      <c r="C38" s="2">
        <f t="shared" si="9"/>
        <v>8.9600101904775892E-4</v>
      </c>
      <c r="D38" s="29">
        <f t="shared" si="2"/>
        <v>0.01</v>
      </c>
      <c r="E38" s="100">
        <f t="shared" si="10"/>
        <v>0</v>
      </c>
    </row>
    <row r="39" spans="1:11" x14ac:dyDescent="0.2">
      <c r="A39" s="2">
        <v>34</v>
      </c>
      <c r="B39" s="2">
        <f t="shared" si="8"/>
        <v>1.1600000000000001</v>
      </c>
      <c r="C39" s="2">
        <f t="shared" si="9"/>
        <v>8.9600101904775892E-4</v>
      </c>
      <c r="D39" s="29">
        <f t="shared" si="2"/>
        <v>0.01</v>
      </c>
      <c r="E39" s="100">
        <f t="shared" si="10"/>
        <v>0</v>
      </c>
    </row>
    <row r="40" spans="1:11" x14ac:dyDescent="0.2">
      <c r="A40" s="2">
        <v>35</v>
      </c>
      <c r="B40" s="2">
        <f t="shared" si="8"/>
        <v>1.1600000000000001</v>
      </c>
      <c r="C40" s="2">
        <f t="shared" si="9"/>
        <v>8.9600101904775892E-4</v>
      </c>
      <c r="D40" s="29">
        <f t="shared" si="2"/>
        <v>0.01</v>
      </c>
      <c r="E40" s="100">
        <f t="shared" si="10"/>
        <v>0</v>
      </c>
    </row>
    <row r="41" spans="1:11" x14ac:dyDescent="0.2">
      <c r="A41" s="2">
        <v>36</v>
      </c>
      <c r="B41" s="2">
        <f t="shared" si="8"/>
        <v>1.1600000000000001</v>
      </c>
      <c r="C41" s="2">
        <f t="shared" si="9"/>
        <v>8.9600101904775892E-4</v>
      </c>
      <c r="D41" s="29">
        <f t="shared" si="2"/>
        <v>0.01</v>
      </c>
      <c r="E41" s="100">
        <f t="shared" si="10"/>
        <v>0</v>
      </c>
    </row>
    <row r="42" spans="1:11" x14ac:dyDescent="0.2">
      <c r="A42" s="2">
        <v>37</v>
      </c>
      <c r="B42" s="2">
        <f t="shared" si="8"/>
        <v>1.1600000000000001</v>
      </c>
      <c r="C42" s="2">
        <f t="shared" si="9"/>
        <v>8.9600101904775892E-4</v>
      </c>
      <c r="D42" s="29">
        <f t="shared" si="2"/>
        <v>0.01</v>
      </c>
      <c r="E42" s="100">
        <f t="shared" si="10"/>
        <v>0</v>
      </c>
    </row>
    <row r="43" spans="1:11" x14ac:dyDescent="0.2">
      <c r="A43" s="2">
        <v>38</v>
      </c>
      <c r="B43" s="2">
        <f t="shared" si="8"/>
        <v>1.1600000000000001</v>
      </c>
      <c r="C43" s="2">
        <f t="shared" si="9"/>
        <v>8.9600101904775892E-4</v>
      </c>
      <c r="D43" s="29">
        <f t="shared" si="2"/>
        <v>0.01</v>
      </c>
      <c r="E43" s="100">
        <f t="shared" si="10"/>
        <v>0</v>
      </c>
    </row>
    <row r="44" spans="1:11" x14ac:dyDescent="0.2">
      <c r="A44" s="2">
        <v>39</v>
      </c>
      <c r="B44" s="2">
        <f t="shared" si="8"/>
        <v>1.1600000000000001</v>
      </c>
      <c r="C44" s="2">
        <f t="shared" si="9"/>
        <v>8.9600101904775892E-4</v>
      </c>
      <c r="D44" s="29">
        <f t="shared" si="2"/>
        <v>0.01</v>
      </c>
      <c r="E44" s="100">
        <f t="shared" si="10"/>
        <v>0</v>
      </c>
    </row>
    <row r="45" spans="1:11" x14ac:dyDescent="0.2">
      <c r="A45" s="2">
        <v>40</v>
      </c>
      <c r="B45" s="2">
        <f t="shared" si="8"/>
        <v>1.1600000000000001</v>
      </c>
      <c r="C45" s="2">
        <f t="shared" si="9"/>
        <v>8.9600101904775892E-4</v>
      </c>
      <c r="D45" s="29">
        <f t="shared" si="2"/>
        <v>0.01</v>
      </c>
      <c r="E45" s="100">
        <f t="shared" si="10"/>
        <v>0</v>
      </c>
    </row>
    <row r="46" spans="1:11" x14ac:dyDescent="0.2">
      <c r="A46" s="2">
        <v>41</v>
      </c>
      <c r="B46" s="2">
        <f t="shared" si="8"/>
        <v>1.1600000000000001</v>
      </c>
      <c r="C46" s="2">
        <f t="shared" si="9"/>
        <v>8.9600101904775892E-4</v>
      </c>
      <c r="D46" s="29">
        <f t="shared" si="2"/>
        <v>0.01</v>
      </c>
      <c r="E46" s="100">
        <f t="shared" si="10"/>
        <v>0</v>
      </c>
    </row>
    <row r="47" spans="1:11" x14ac:dyDescent="0.2">
      <c r="A47" s="2">
        <v>42</v>
      </c>
      <c r="B47" s="2">
        <f t="shared" si="8"/>
        <v>1.1600000000000001</v>
      </c>
      <c r="C47" s="2">
        <f t="shared" si="9"/>
        <v>8.9600101904775892E-4</v>
      </c>
      <c r="D47" s="29">
        <f t="shared" si="2"/>
        <v>0.01</v>
      </c>
      <c r="E47" s="100">
        <f t="shared" si="10"/>
        <v>0</v>
      </c>
    </row>
    <row r="48" spans="1:11" x14ac:dyDescent="0.2">
      <c r="A48" s="2">
        <v>43</v>
      </c>
      <c r="B48" s="2">
        <f t="shared" si="8"/>
        <v>1.1600000000000001</v>
      </c>
      <c r="C48" s="2">
        <f t="shared" si="9"/>
        <v>8.9600101904775892E-4</v>
      </c>
      <c r="D48" s="29">
        <f t="shared" si="2"/>
        <v>0.01</v>
      </c>
      <c r="E48" s="100">
        <f t="shared" si="10"/>
        <v>0</v>
      </c>
    </row>
    <row r="49" spans="1:5" x14ac:dyDescent="0.2">
      <c r="A49" s="2">
        <v>44</v>
      </c>
      <c r="B49" s="2">
        <f t="shared" si="8"/>
        <v>1.1600000000000001</v>
      </c>
      <c r="C49" s="2">
        <f t="shared" si="9"/>
        <v>8.9600101904775892E-4</v>
      </c>
      <c r="D49" s="29">
        <f t="shared" si="2"/>
        <v>0.01</v>
      </c>
      <c r="E49" s="100">
        <f t="shared" si="10"/>
        <v>0</v>
      </c>
    </row>
    <row r="50" spans="1:5" x14ac:dyDescent="0.2">
      <c r="A50" s="2">
        <v>45</v>
      </c>
      <c r="B50" s="2">
        <f t="shared" si="8"/>
        <v>1.1600000000000001</v>
      </c>
      <c r="C50" s="2">
        <f t="shared" si="9"/>
        <v>8.9600101904775892E-4</v>
      </c>
      <c r="D50" s="29">
        <f t="shared" si="2"/>
        <v>0.01</v>
      </c>
      <c r="E50" s="100">
        <f t="shared" si="10"/>
        <v>0</v>
      </c>
    </row>
    <row r="51" spans="1:5" x14ac:dyDescent="0.2">
      <c r="A51" s="2">
        <v>46</v>
      </c>
      <c r="B51" s="2">
        <f t="shared" si="8"/>
        <v>1.1600000000000001</v>
      </c>
      <c r="C51" s="2">
        <f t="shared" si="9"/>
        <v>8.9600101904775892E-4</v>
      </c>
      <c r="D51" s="29">
        <f t="shared" si="2"/>
        <v>0.01</v>
      </c>
      <c r="E51" s="100">
        <f t="shared" si="10"/>
        <v>0</v>
      </c>
    </row>
    <row r="52" spans="1:5" x14ac:dyDescent="0.2">
      <c r="A52" s="2">
        <v>47</v>
      </c>
      <c r="B52" s="2">
        <f t="shared" si="8"/>
        <v>1.1600000000000001</v>
      </c>
      <c r="C52" s="2">
        <f t="shared" si="9"/>
        <v>8.9600101904775892E-4</v>
      </c>
      <c r="D52" s="29">
        <f t="shared" si="2"/>
        <v>0.01</v>
      </c>
      <c r="E52" s="100">
        <f t="shared" si="10"/>
        <v>0</v>
      </c>
    </row>
    <row r="53" spans="1:5" x14ac:dyDescent="0.2">
      <c r="A53" s="2">
        <v>48</v>
      </c>
      <c r="B53" s="2">
        <f t="shared" si="8"/>
        <v>1.1600000000000001</v>
      </c>
      <c r="C53" s="2">
        <f t="shared" si="9"/>
        <v>8.9600101904775892E-4</v>
      </c>
      <c r="D53" s="29">
        <f t="shared" si="2"/>
        <v>0.01</v>
      </c>
      <c r="E53" s="100">
        <f t="shared" si="10"/>
        <v>0</v>
      </c>
    </row>
    <row r="54" spans="1:5" x14ac:dyDescent="0.2">
      <c r="A54" s="2">
        <v>49</v>
      </c>
      <c r="B54" s="2">
        <f t="shared" si="8"/>
        <v>1.1600000000000001</v>
      </c>
      <c r="C54" s="2">
        <f t="shared" si="9"/>
        <v>8.9600101904775892E-4</v>
      </c>
      <c r="D54" s="29">
        <f t="shared" si="2"/>
        <v>0.01</v>
      </c>
      <c r="E54" s="100">
        <f t="shared" si="10"/>
        <v>0</v>
      </c>
    </row>
    <row r="55" spans="1:5" x14ac:dyDescent="0.2">
      <c r="A55" s="2">
        <v>50</v>
      </c>
      <c r="B55" s="2">
        <f t="shared" si="8"/>
        <v>1.1600000000000001</v>
      </c>
      <c r="C55" s="2">
        <f t="shared" si="9"/>
        <v>8.9600101904775892E-4</v>
      </c>
      <c r="D55" s="29">
        <f t="shared" si="2"/>
        <v>0.01</v>
      </c>
      <c r="E55" s="100">
        <f t="shared" si="10"/>
        <v>0</v>
      </c>
    </row>
    <row r="56" spans="1:5" x14ac:dyDescent="0.2">
      <c r="A56" s="2">
        <v>51</v>
      </c>
      <c r="B56" s="2">
        <f t="shared" si="8"/>
        <v>1.1600000000000001</v>
      </c>
      <c r="C56" s="2">
        <f t="shared" si="9"/>
        <v>8.9600101904775892E-4</v>
      </c>
      <c r="D56" s="29">
        <f t="shared" si="2"/>
        <v>0.01</v>
      </c>
      <c r="E56" s="100">
        <f t="shared" si="10"/>
        <v>0</v>
      </c>
    </row>
    <row r="57" spans="1:5" x14ac:dyDescent="0.2">
      <c r="A57" s="2">
        <v>52</v>
      </c>
      <c r="B57" s="2">
        <f t="shared" si="8"/>
        <v>1.1600000000000001</v>
      </c>
      <c r="C57" s="2">
        <f t="shared" si="9"/>
        <v>8.9600101904775892E-4</v>
      </c>
      <c r="D57" s="29">
        <f t="shared" si="2"/>
        <v>0.01</v>
      </c>
      <c r="E57" s="100">
        <f t="shared" si="10"/>
        <v>0</v>
      </c>
    </row>
    <row r="58" spans="1:5" x14ac:dyDescent="0.2">
      <c r="A58" s="2">
        <v>53</v>
      </c>
      <c r="B58" s="2">
        <f t="shared" si="8"/>
        <v>1.1600000000000001</v>
      </c>
      <c r="C58" s="2">
        <f t="shared" si="9"/>
        <v>8.9600101904775892E-4</v>
      </c>
      <c r="D58" s="29">
        <f t="shared" si="2"/>
        <v>0.01</v>
      </c>
      <c r="E58" s="100">
        <f t="shared" si="10"/>
        <v>0</v>
      </c>
    </row>
    <row r="59" spans="1:5" x14ac:dyDescent="0.2">
      <c r="A59" s="2">
        <v>54</v>
      </c>
      <c r="B59" s="2">
        <f t="shared" si="8"/>
        <v>1.1600000000000001</v>
      </c>
      <c r="C59" s="2">
        <f t="shared" si="9"/>
        <v>8.9600101904775892E-4</v>
      </c>
      <c r="D59" s="29">
        <f t="shared" si="2"/>
        <v>0.01</v>
      </c>
      <c r="E59" s="100">
        <f t="shared" si="10"/>
        <v>0</v>
      </c>
    </row>
    <row r="60" spans="1:5" x14ac:dyDescent="0.2">
      <c r="A60" s="2">
        <v>55</v>
      </c>
      <c r="B60" s="2">
        <f t="shared" si="8"/>
        <v>1.1600000000000001</v>
      </c>
      <c r="C60" s="2">
        <f t="shared" si="9"/>
        <v>8.9600101904775892E-4</v>
      </c>
      <c r="D60" s="29">
        <f t="shared" si="2"/>
        <v>0.01</v>
      </c>
      <c r="E60" s="100">
        <f t="shared" si="10"/>
        <v>0</v>
      </c>
    </row>
    <row r="61" spans="1:5" x14ac:dyDescent="0.2">
      <c r="A61" s="2">
        <v>56</v>
      </c>
      <c r="B61" s="2">
        <f t="shared" si="8"/>
        <v>1.1600000000000001</v>
      </c>
      <c r="C61" s="2">
        <f t="shared" si="9"/>
        <v>8.9600101904775892E-4</v>
      </c>
      <c r="D61" s="29">
        <f t="shared" si="2"/>
        <v>0.01</v>
      </c>
      <c r="E61" s="100">
        <f t="shared" si="10"/>
        <v>0</v>
      </c>
    </row>
    <row r="62" spans="1:5" x14ac:dyDescent="0.2">
      <c r="A62" s="2">
        <v>57</v>
      </c>
      <c r="B62" s="2">
        <f t="shared" si="8"/>
        <v>1.1600000000000001</v>
      </c>
      <c r="C62" s="2">
        <f t="shared" si="9"/>
        <v>8.9600101904775892E-4</v>
      </c>
      <c r="D62" s="29">
        <f t="shared" si="2"/>
        <v>0.01</v>
      </c>
      <c r="E62" s="100">
        <f t="shared" si="10"/>
        <v>0</v>
      </c>
    </row>
    <row r="63" spans="1:5" x14ac:dyDescent="0.2">
      <c r="A63" s="2">
        <v>58</v>
      </c>
      <c r="B63" s="2">
        <f t="shared" si="8"/>
        <v>1.1600000000000001</v>
      </c>
      <c r="C63" s="2">
        <f t="shared" si="9"/>
        <v>8.9600101904775892E-4</v>
      </c>
      <c r="D63" s="29">
        <f t="shared" si="2"/>
        <v>0.01</v>
      </c>
      <c r="E63" s="100">
        <f t="shared" si="10"/>
        <v>0</v>
      </c>
    </row>
    <row r="64" spans="1:5" x14ac:dyDescent="0.2">
      <c r="A64" s="2">
        <v>59</v>
      </c>
      <c r="B64" s="2">
        <f t="shared" si="8"/>
        <v>1.1600000000000001</v>
      </c>
      <c r="C64" s="2">
        <f t="shared" si="9"/>
        <v>8.9600101904775892E-4</v>
      </c>
      <c r="D64" s="29">
        <f t="shared" si="2"/>
        <v>0.01</v>
      </c>
      <c r="E64" s="100">
        <f t="shared" si="10"/>
        <v>0</v>
      </c>
    </row>
    <row r="65" spans="1:5" x14ac:dyDescent="0.2">
      <c r="A65" s="2">
        <v>60</v>
      </c>
      <c r="B65" s="2">
        <f t="shared" si="8"/>
        <v>1.1600000000000001</v>
      </c>
      <c r="C65" s="2">
        <f t="shared" si="9"/>
        <v>8.9600101904775892E-4</v>
      </c>
      <c r="D65" s="29">
        <f t="shared" si="2"/>
        <v>0.01</v>
      </c>
      <c r="E65" s="100">
        <f t="shared" si="10"/>
        <v>0</v>
      </c>
    </row>
    <row r="66" spans="1:5" x14ac:dyDescent="0.2">
      <c r="A66" s="2">
        <v>61</v>
      </c>
      <c r="B66" s="2">
        <f t="shared" si="8"/>
        <v>1.1600000000000001</v>
      </c>
      <c r="C66" s="2">
        <f t="shared" si="9"/>
        <v>8.9600101904775892E-4</v>
      </c>
      <c r="D66" s="29">
        <f t="shared" si="2"/>
        <v>0.01</v>
      </c>
      <c r="E66" s="100">
        <f t="shared" si="10"/>
        <v>0</v>
      </c>
    </row>
    <row r="67" spans="1:5" x14ac:dyDescent="0.2">
      <c r="A67" s="2">
        <v>62</v>
      </c>
      <c r="B67" s="2">
        <f t="shared" si="8"/>
        <v>1.1600000000000001</v>
      </c>
      <c r="C67" s="2">
        <f t="shared" si="9"/>
        <v>8.9600101904775892E-4</v>
      </c>
      <c r="D67" s="29">
        <f t="shared" si="2"/>
        <v>0.01</v>
      </c>
      <c r="E67" s="100">
        <f t="shared" si="10"/>
        <v>0</v>
      </c>
    </row>
    <row r="68" spans="1:5" x14ac:dyDescent="0.2">
      <c r="A68" s="2">
        <v>63</v>
      </c>
      <c r="B68" s="2">
        <f t="shared" si="8"/>
        <v>1.1600000000000001</v>
      </c>
      <c r="C68" s="2">
        <f t="shared" si="9"/>
        <v>8.9600101904775892E-4</v>
      </c>
      <c r="D68" s="29">
        <f t="shared" si="2"/>
        <v>0.01</v>
      </c>
      <c r="E68" s="100">
        <f t="shared" si="10"/>
        <v>0</v>
      </c>
    </row>
    <row r="69" spans="1:5" x14ac:dyDescent="0.2">
      <c r="A69" s="2">
        <v>64</v>
      </c>
      <c r="B69" s="2">
        <f t="shared" si="8"/>
        <v>1.1600000000000001</v>
      </c>
      <c r="C69" s="2">
        <f t="shared" si="9"/>
        <v>8.9600101904775892E-4</v>
      </c>
      <c r="D69" s="29">
        <f t="shared" si="2"/>
        <v>0.01</v>
      </c>
      <c r="E69" s="100">
        <f t="shared" si="10"/>
        <v>0</v>
      </c>
    </row>
    <row r="70" spans="1:5" x14ac:dyDescent="0.2">
      <c r="A70" s="2">
        <v>65</v>
      </c>
      <c r="B70" s="2">
        <f t="shared" si="8"/>
        <v>1.1600000000000001</v>
      </c>
      <c r="C70" s="2">
        <f t="shared" si="9"/>
        <v>8.9600101904775892E-4</v>
      </c>
      <c r="D70" s="29">
        <f t="shared" ref="D70:D100" si="11">$G$5</f>
        <v>0.01</v>
      </c>
      <c r="E70" s="100">
        <f t="shared" si="10"/>
        <v>0</v>
      </c>
    </row>
    <row r="71" spans="1:5" x14ac:dyDescent="0.2">
      <c r="A71" s="2">
        <v>66</v>
      </c>
      <c r="B71" s="2">
        <f t="shared" si="8"/>
        <v>1.1600000000000001</v>
      </c>
      <c r="C71" s="2">
        <f t="shared" si="9"/>
        <v>8.9600101904775892E-4</v>
      </c>
      <c r="D71" s="29">
        <f t="shared" si="11"/>
        <v>0.01</v>
      </c>
      <c r="E71" s="100">
        <f t="shared" si="10"/>
        <v>0</v>
      </c>
    </row>
    <row r="72" spans="1:5" x14ac:dyDescent="0.2">
      <c r="A72" s="2">
        <v>67</v>
      </c>
      <c r="B72" s="2">
        <f t="shared" si="8"/>
        <v>1.1600000000000001</v>
      </c>
      <c r="C72" s="2">
        <f t="shared" si="9"/>
        <v>8.9600101904775892E-4</v>
      </c>
      <c r="D72" s="29">
        <f t="shared" si="11"/>
        <v>0.01</v>
      </c>
      <c r="E72" s="100">
        <f t="shared" si="10"/>
        <v>0</v>
      </c>
    </row>
    <row r="73" spans="1:5" x14ac:dyDescent="0.2">
      <c r="A73" s="2">
        <v>68</v>
      </c>
      <c r="B73" s="2">
        <f t="shared" si="8"/>
        <v>1.1600000000000001</v>
      </c>
      <c r="C73" s="2">
        <f t="shared" si="9"/>
        <v>8.9600101904775892E-4</v>
      </c>
      <c r="D73" s="29">
        <f t="shared" si="11"/>
        <v>0.01</v>
      </c>
      <c r="E73" s="100">
        <f t="shared" si="10"/>
        <v>0</v>
      </c>
    </row>
    <row r="74" spans="1:5" x14ac:dyDescent="0.2">
      <c r="A74" s="2">
        <v>69</v>
      </c>
      <c r="B74" s="2">
        <f t="shared" si="8"/>
        <v>1.1600000000000001</v>
      </c>
      <c r="C74" s="2">
        <f t="shared" si="9"/>
        <v>8.9600101904775892E-4</v>
      </c>
      <c r="D74" s="29">
        <f t="shared" si="11"/>
        <v>0.01</v>
      </c>
      <c r="E74" s="100">
        <f t="shared" si="10"/>
        <v>0</v>
      </c>
    </row>
    <row r="75" spans="1:5" x14ac:dyDescent="0.2">
      <c r="A75" s="2">
        <v>70</v>
      </c>
      <c r="B75" s="2">
        <f t="shared" si="8"/>
        <v>1.1600000000000001</v>
      </c>
      <c r="C75" s="2">
        <f t="shared" si="9"/>
        <v>8.9600101904775892E-4</v>
      </c>
      <c r="D75" s="29">
        <f t="shared" si="11"/>
        <v>0.01</v>
      </c>
      <c r="E75" s="100">
        <f t="shared" si="10"/>
        <v>0</v>
      </c>
    </row>
    <row r="76" spans="1:5" x14ac:dyDescent="0.2">
      <c r="A76" s="2">
        <v>71</v>
      </c>
      <c r="B76" s="2">
        <f t="shared" si="8"/>
        <v>1.1600000000000001</v>
      </c>
      <c r="C76" s="2">
        <f t="shared" si="9"/>
        <v>8.9600101904775892E-4</v>
      </c>
      <c r="D76" s="29">
        <f t="shared" si="11"/>
        <v>0.01</v>
      </c>
      <c r="E76" s="100">
        <f t="shared" si="10"/>
        <v>0</v>
      </c>
    </row>
    <row r="77" spans="1:5" x14ac:dyDescent="0.2">
      <c r="A77" s="2">
        <v>72</v>
      </c>
      <c r="B77" s="2">
        <f t="shared" si="8"/>
        <v>1.1600000000000001</v>
      </c>
      <c r="C77" s="2">
        <f t="shared" si="9"/>
        <v>8.9600101904775892E-4</v>
      </c>
      <c r="D77" s="29">
        <f t="shared" si="11"/>
        <v>0.01</v>
      </c>
      <c r="E77" s="100">
        <f t="shared" si="10"/>
        <v>0</v>
      </c>
    </row>
    <row r="78" spans="1:5" x14ac:dyDescent="0.2">
      <c r="A78" s="2">
        <v>73</v>
      </c>
      <c r="B78" s="2">
        <f t="shared" si="8"/>
        <v>1.1600000000000001</v>
      </c>
      <c r="C78" s="2">
        <f t="shared" si="9"/>
        <v>8.9600101904775892E-4</v>
      </c>
      <c r="D78" s="29">
        <f t="shared" si="11"/>
        <v>0.01</v>
      </c>
      <c r="E78" s="100">
        <f t="shared" si="10"/>
        <v>0</v>
      </c>
    </row>
    <row r="79" spans="1:5" x14ac:dyDescent="0.2">
      <c r="A79" s="2">
        <v>74</v>
      </c>
      <c r="B79" s="2">
        <f t="shared" si="8"/>
        <v>1.1600000000000001</v>
      </c>
      <c r="C79" s="2">
        <f t="shared" si="9"/>
        <v>8.9600101904775892E-4</v>
      </c>
      <c r="D79" s="29">
        <f t="shared" si="11"/>
        <v>0.01</v>
      </c>
      <c r="E79" s="100">
        <f t="shared" si="10"/>
        <v>0</v>
      </c>
    </row>
    <row r="80" spans="1:5" x14ac:dyDescent="0.2">
      <c r="A80" s="2">
        <v>75</v>
      </c>
      <c r="B80" s="2">
        <f t="shared" si="8"/>
        <v>1.1600000000000001</v>
      </c>
      <c r="C80" s="2">
        <f t="shared" si="9"/>
        <v>8.9600101904775892E-4</v>
      </c>
      <c r="D80" s="29">
        <f t="shared" si="11"/>
        <v>0.01</v>
      </c>
      <c r="E80" s="100">
        <f t="shared" si="10"/>
        <v>0</v>
      </c>
    </row>
    <row r="81" spans="1:5" x14ac:dyDescent="0.2">
      <c r="A81" s="2">
        <v>76</v>
      </c>
      <c r="B81" s="2">
        <f t="shared" si="8"/>
        <v>1.1600000000000001</v>
      </c>
      <c r="C81" s="2">
        <f t="shared" si="9"/>
        <v>8.9600101904775892E-4</v>
      </c>
      <c r="D81" s="29">
        <f t="shared" si="11"/>
        <v>0.01</v>
      </c>
      <c r="E81" s="100">
        <f t="shared" si="10"/>
        <v>0</v>
      </c>
    </row>
    <row r="82" spans="1:5" x14ac:dyDescent="0.2">
      <c r="A82" s="2">
        <v>77</v>
      </c>
      <c r="B82" s="2">
        <f t="shared" si="8"/>
        <v>1.1600000000000001</v>
      </c>
      <c r="C82" s="2">
        <f t="shared" si="9"/>
        <v>8.9600101904775892E-4</v>
      </c>
      <c r="D82" s="29">
        <f t="shared" si="11"/>
        <v>0.01</v>
      </c>
      <c r="E82" s="100">
        <f t="shared" si="10"/>
        <v>0</v>
      </c>
    </row>
    <row r="83" spans="1:5" x14ac:dyDescent="0.2">
      <c r="A83" s="2">
        <v>78</v>
      </c>
      <c r="B83" s="2">
        <f t="shared" si="8"/>
        <v>1.1600000000000001</v>
      </c>
      <c r="C83" s="2">
        <f t="shared" si="9"/>
        <v>8.9600101904775892E-4</v>
      </c>
      <c r="D83" s="29">
        <f t="shared" si="11"/>
        <v>0.01</v>
      </c>
      <c r="E83" s="100">
        <f t="shared" si="10"/>
        <v>0</v>
      </c>
    </row>
    <row r="84" spans="1:5" x14ac:dyDescent="0.2">
      <c r="A84" s="2">
        <v>79</v>
      </c>
      <c r="B84" s="2">
        <f t="shared" si="8"/>
        <v>1.1600000000000001</v>
      </c>
      <c r="C84" s="2">
        <f t="shared" si="9"/>
        <v>8.9600101904775892E-4</v>
      </c>
      <c r="D84" s="29">
        <f t="shared" si="11"/>
        <v>0.01</v>
      </c>
      <c r="E84" s="100">
        <f t="shared" si="10"/>
        <v>0</v>
      </c>
    </row>
    <row r="85" spans="1:5" x14ac:dyDescent="0.2">
      <c r="A85" s="2">
        <v>80</v>
      </c>
      <c r="B85" s="2">
        <f t="shared" si="8"/>
        <v>1.1600000000000001</v>
      </c>
      <c r="C85" s="2">
        <f t="shared" si="9"/>
        <v>8.9600101904775892E-4</v>
      </c>
      <c r="D85" s="29">
        <f t="shared" si="11"/>
        <v>0.01</v>
      </c>
      <c r="E85" s="100">
        <f t="shared" si="10"/>
        <v>0</v>
      </c>
    </row>
    <row r="86" spans="1:5" x14ac:dyDescent="0.2">
      <c r="A86" s="2">
        <v>81</v>
      </c>
      <c r="B86" s="2">
        <f t="shared" si="8"/>
        <v>1.1600000000000001</v>
      </c>
      <c r="C86" s="2">
        <f t="shared" si="9"/>
        <v>8.9600101904775892E-4</v>
      </c>
      <c r="D86" s="29">
        <f t="shared" si="11"/>
        <v>0.01</v>
      </c>
      <c r="E86" s="100">
        <f t="shared" si="10"/>
        <v>0</v>
      </c>
    </row>
    <row r="87" spans="1:5" x14ac:dyDescent="0.2">
      <c r="A87" s="2">
        <v>82</v>
      </c>
      <c r="B87" s="2">
        <f t="shared" si="8"/>
        <v>1.1600000000000001</v>
      </c>
      <c r="C87" s="2">
        <f t="shared" si="9"/>
        <v>8.9600101904775892E-4</v>
      </c>
      <c r="D87" s="29">
        <f t="shared" si="11"/>
        <v>0.01</v>
      </c>
      <c r="E87" s="100">
        <f t="shared" si="10"/>
        <v>0</v>
      </c>
    </row>
    <row r="88" spans="1:5" x14ac:dyDescent="0.2">
      <c r="A88" s="2">
        <v>83</v>
      </c>
      <c r="B88" s="2">
        <f t="shared" si="8"/>
        <v>1.1600000000000001</v>
      </c>
      <c r="C88" s="2">
        <f t="shared" si="9"/>
        <v>8.9600101904775892E-4</v>
      </c>
      <c r="D88" s="29">
        <f t="shared" si="11"/>
        <v>0.01</v>
      </c>
      <c r="E88" s="100">
        <f t="shared" si="10"/>
        <v>0</v>
      </c>
    </row>
    <row r="89" spans="1:5" x14ac:dyDescent="0.2">
      <c r="A89" s="2">
        <v>84</v>
      </c>
      <c r="B89" s="2">
        <f t="shared" si="8"/>
        <v>1.1600000000000001</v>
      </c>
      <c r="C89" s="2">
        <f t="shared" si="9"/>
        <v>8.9600101904775892E-4</v>
      </c>
      <c r="D89" s="29">
        <f t="shared" si="11"/>
        <v>0.01</v>
      </c>
      <c r="E89" s="100">
        <f t="shared" si="10"/>
        <v>0</v>
      </c>
    </row>
    <row r="90" spans="1:5" x14ac:dyDescent="0.2">
      <c r="A90" s="2">
        <v>85</v>
      </c>
      <c r="B90" s="2">
        <f t="shared" si="8"/>
        <v>1.1600000000000001</v>
      </c>
      <c r="C90" s="2">
        <f t="shared" si="9"/>
        <v>8.9600101904775892E-4</v>
      </c>
      <c r="D90" s="29">
        <f t="shared" si="11"/>
        <v>0.01</v>
      </c>
      <c r="E90" s="100">
        <f t="shared" si="10"/>
        <v>0</v>
      </c>
    </row>
    <row r="91" spans="1:5" x14ac:dyDescent="0.2">
      <c r="A91" s="2">
        <v>86</v>
      </c>
      <c r="B91" s="2">
        <f t="shared" si="8"/>
        <v>1.1600000000000001</v>
      </c>
      <c r="C91" s="2">
        <f t="shared" si="9"/>
        <v>8.9600101904775892E-4</v>
      </c>
      <c r="D91" s="29">
        <f t="shared" si="11"/>
        <v>0.01</v>
      </c>
      <c r="E91" s="100">
        <f t="shared" si="10"/>
        <v>0</v>
      </c>
    </row>
    <row r="92" spans="1:5" x14ac:dyDescent="0.2">
      <c r="A92" s="2">
        <v>87</v>
      </c>
      <c r="B92" s="2">
        <f t="shared" si="8"/>
        <v>1.1600000000000001</v>
      </c>
      <c r="C92" s="2">
        <f t="shared" si="9"/>
        <v>8.9600101904775892E-4</v>
      </c>
      <c r="D92" s="29">
        <f t="shared" si="11"/>
        <v>0.01</v>
      </c>
      <c r="E92" s="100">
        <f t="shared" si="10"/>
        <v>0</v>
      </c>
    </row>
    <row r="93" spans="1:5" x14ac:dyDescent="0.2">
      <c r="A93" s="2">
        <v>88</v>
      </c>
      <c r="B93" s="2">
        <f t="shared" si="8"/>
        <v>1.1600000000000001</v>
      </c>
      <c r="C93" s="2">
        <f t="shared" si="9"/>
        <v>8.9600101904775892E-4</v>
      </c>
      <c r="D93" s="29">
        <f t="shared" si="11"/>
        <v>0.01</v>
      </c>
      <c r="E93" s="100">
        <f t="shared" si="10"/>
        <v>0</v>
      </c>
    </row>
    <row r="94" spans="1:5" x14ac:dyDescent="0.2">
      <c r="A94" s="2">
        <v>89</v>
      </c>
      <c r="B94" s="2">
        <f t="shared" si="8"/>
        <v>1.1600000000000001</v>
      </c>
      <c r="C94" s="2">
        <f t="shared" si="9"/>
        <v>8.9600101904775892E-4</v>
      </c>
      <c r="D94" s="29">
        <f t="shared" si="11"/>
        <v>0.01</v>
      </c>
      <c r="E94" s="100">
        <f t="shared" si="10"/>
        <v>0</v>
      </c>
    </row>
    <row r="95" spans="1:5" x14ac:dyDescent="0.2">
      <c r="A95" s="2">
        <v>90</v>
      </c>
      <c r="B95" s="2">
        <f t="shared" si="8"/>
        <v>1.1600000000000001</v>
      </c>
      <c r="C95" s="2">
        <f t="shared" si="9"/>
        <v>8.9600101904775892E-4</v>
      </c>
      <c r="D95" s="29">
        <f t="shared" si="11"/>
        <v>0.01</v>
      </c>
      <c r="E95" s="100">
        <f t="shared" si="10"/>
        <v>0</v>
      </c>
    </row>
    <row r="96" spans="1:5" x14ac:dyDescent="0.2">
      <c r="A96" s="2">
        <v>91</v>
      </c>
      <c r="B96" s="2">
        <f t="shared" si="8"/>
        <v>1.1600000000000001</v>
      </c>
      <c r="C96" s="2">
        <f t="shared" si="9"/>
        <v>8.9600101904775892E-4</v>
      </c>
      <c r="D96" s="29">
        <f t="shared" si="11"/>
        <v>0.01</v>
      </c>
      <c r="E96" s="100">
        <f t="shared" si="10"/>
        <v>0</v>
      </c>
    </row>
    <row r="97" spans="1:5" x14ac:dyDescent="0.2">
      <c r="A97" s="2">
        <v>92</v>
      </c>
      <c r="B97" s="2">
        <f t="shared" si="8"/>
        <v>1.1600000000000001</v>
      </c>
      <c r="C97" s="2">
        <f t="shared" si="9"/>
        <v>8.9600101904775892E-4</v>
      </c>
      <c r="D97" s="29">
        <f t="shared" si="11"/>
        <v>0.01</v>
      </c>
      <c r="E97" s="100">
        <f t="shared" si="10"/>
        <v>0</v>
      </c>
    </row>
    <row r="98" spans="1:5" x14ac:dyDescent="0.2">
      <c r="A98" s="2">
        <v>93</v>
      </c>
      <c r="B98" s="2">
        <f t="shared" si="8"/>
        <v>1.1600000000000001</v>
      </c>
      <c r="C98" s="2">
        <f t="shared" si="9"/>
        <v>8.9600101904775892E-4</v>
      </c>
      <c r="D98" s="29">
        <f t="shared" si="11"/>
        <v>0.01</v>
      </c>
      <c r="E98" s="100">
        <f t="shared" si="10"/>
        <v>0</v>
      </c>
    </row>
    <row r="99" spans="1:5" x14ac:dyDescent="0.2">
      <c r="A99" s="2">
        <v>94</v>
      </c>
      <c r="B99" s="2">
        <f t="shared" si="8"/>
        <v>1.1600000000000001</v>
      </c>
      <c r="C99" s="2">
        <f t="shared" si="9"/>
        <v>8.9600101904775892E-4</v>
      </c>
      <c r="D99" s="29">
        <f t="shared" si="11"/>
        <v>0.01</v>
      </c>
      <c r="E99" s="100">
        <f t="shared" si="10"/>
        <v>0</v>
      </c>
    </row>
    <row r="100" spans="1:5" x14ac:dyDescent="0.2">
      <c r="A100" s="2">
        <v>95</v>
      </c>
      <c r="B100" s="2">
        <f t="shared" ref="B100" si="12">IF(C99&lt;C98,B99+$G$5,B99)</f>
        <v>1.1600000000000001</v>
      </c>
      <c r="C100" s="2">
        <f t="shared" ref="C100" si="13">(EXP(B100)-2-B100)^2</f>
        <v>8.9600101904775892E-4</v>
      </c>
      <c r="D100" s="29">
        <f t="shared" si="11"/>
        <v>0.01</v>
      </c>
      <c r="E100" s="100">
        <f t="shared" ref="E100" si="14">B100-B99</f>
        <v>0</v>
      </c>
    </row>
  </sheetData>
  <mergeCells count="2">
    <mergeCell ref="A1:G1"/>
    <mergeCell ref="A3:G3"/>
  </mergeCells>
  <phoneticPr fontId="0" type="noConversion"/>
  <conditionalFormatting sqref="D5:D100">
    <cfRule type="expression" dxfId="6" priority="2" stopIfTrue="1">
      <formula>$A$7=0</formula>
    </cfRule>
  </conditionalFormatting>
  <conditionalFormatting sqref="A7:E100">
    <cfRule type="expression" dxfId="5" priority="1">
      <formula>$E7&lt;=$F$5</formula>
    </cfRule>
  </conditionalFormatting>
  <pageMargins left="0.75" right="0.75" top="1" bottom="1" header="0.5" footer="0.5"/>
  <pageSetup paperSize="9" orientation="portrait" horizontalDpi="4294967294"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56"/>
  <sheetViews>
    <sheetView workbookViewId="0">
      <selection activeCell="D51" sqref="D51"/>
    </sheetView>
  </sheetViews>
  <sheetFormatPr defaultRowHeight="12.75" x14ac:dyDescent="0.2"/>
  <cols>
    <col min="1" max="1" width="3.5703125" customWidth="1"/>
    <col min="2" max="2" width="10.28515625" bestFit="1" customWidth="1"/>
    <col min="3" max="3" width="21.5703125" bestFit="1" customWidth="1"/>
    <col min="4" max="4" width="46.42578125" customWidth="1"/>
    <col min="5" max="5" width="9.28515625" customWidth="1"/>
    <col min="6" max="6" width="12" bestFit="1" customWidth="1"/>
    <col min="7" max="7" width="12.5703125" bestFit="1" customWidth="1"/>
    <col min="8" max="8" width="15.28515625" customWidth="1"/>
    <col min="9" max="9" width="11" customWidth="1"/>
    <col min="10" max="10" width="15.140625" customWidth="1"/>
  </cols>
  <sheetData>
    <row r="1" spans="1:16" x14ac:dyDescent="0.2">
      <c r="A1" t="s">
        <v>47</v>
      </c>
      <c r="L1">
        <f ca="1">sheet4!K7</f>
        <v>0</v>
      </c>
      <c r="O1">
        <f ca="1">IF(L1&lt;=3,21,MATCH(0,Sheet3!K7:K27,0))</f>
        <v>21</v>
      </c>
      <c r="P1" s="91" t="s">
        <v>68</v>
      </c>
    </row>
    <row r="2" spans="1:16" ht="13.5" thickBot="1" x14ac:dyDescent="0.25">
      <c r="A2" t="s">
        <v>22</v>
      </c>
      <c r="P2" s="91" t="s">
        <v>69</v>
      </c>
    </row>
    <row r="3" spans="1:16" x14ac:dyDescent="0.2">
      <c r="A3" t="s">
        <v>9</v>
      </c>
      <c r="H3" s="119" t="s">
        <v>53</v>
      </c>
      <c r="I3" s="120"/>
      <c r="J3" s="120"/>
      <c r="K3" s="120"/>
      <c r="L3" s="120"/>
      <c r="M3" s="121"/>
      <c r="P3" s="91" t="s">
        <v>70</v>
      </c>
    </row>
    <row r="4" spans="1:16" x14ac:dyDescent="0.2">
      <c r="H4" s="122"/>
      <c r="I4" s="123"/>
      <c r="J4" s="123"/>
      <c r="K4" s="123"/>
      <c r="L4" s="123"/>
      <c r="M4" s="124"/>
    </row>
    <row r="5" spans="1:16" ht="13.5" thickBot="1" x14ac:dyDescent="0.25">
      <c r="A5" t="s">
        <v>51</v>
      </c>
      <c r="H5" s="125"/>
      <c r="I5" s="126"/>
      <c r="J5" s="126"/>
      <c r="K5" s="127"/>
      <c r="L5" s="127"/>
      <c r="M5" s="128"/>
    </row>
    <row r="6" spans="1:16" ht="16.5" thickBot="1" x14ac:dyDescent="0.35">
      <c r="A6" s="58" t="s">
        <v>37</v>
      </c>
      <c r="B6" s="53" t="s">
        <v>46</v>
      </c>
      <c r="C6" s="53" t="s">
        <v>45</v>
      </c>
      <c r="D6" s="53" t="s">
        <v>49</v>
      </c>
      <c r="E6" s="53" t="s">
        <v>41</v>
      </c>
      <c r="F6" s="53" t="s">
        <v>31</v>
      </c>
      <c r="G6" s="60" t="s">
        <v>48</v>
      </c>
      <c r="H6" s="83" t="s">
        <v>50</v>
      </c>
      <c r="I6" s="84" t="s">
        <v>48</v>
      </c>
      <c r="J6" s="85" t="s">
        <v>54</v>
      </c>
      <c r="K6" s="87" t="s">
        <v>67</v>
      </c>
    </row>
    <row r="7" spans="1:16" ht="13.5" thickBot="1" x14ac:dyDescent="0.25">
      <c r="A7" s="55">
        <v>1</v>
      </c>
      <c r="B7" s="56">
        <f ca="1">IF(A7=sheet4!$A$7,sheet4!$B$7,B7)</f>
        <v>700.02</v>
      </c>
      <c r="C7" s="56">
        <f ca="1">ABS($F$7-B7)</f>
        <v>27.848852459016371</v>
      </c>
      <c r="D7" s="57"/>
      <c r="E7" s="54">
        <f>INDEX(H7:H27,E8)</f>
        <v>1</v>
      </c>
      <c r="F7" s="52">
        <f>Sheet1!I4</f>
        <v>727.86885245901635</v>
      </c>
      <c r="G7" s="59">
        <f ca="1">ABS((D46-D45)/D46)</f>
        <v>1.325314728563447E-7</v>
      </c>
      <c r="H7" s="93">
        <v>1</v>
      </c>
      <c r="I7" s="27">
        <f ca="1">IF(H7=$E$7,$G$7,I7)</f>
        <v>1.325314728563447E-7</v>
      </c>
      <c r="J7" s="86">
        <f ca="1">MIN(I7:I27)</f>
        <v>1.325314728563447E-7</v>
      </c>
      <c r="K7" s="88">
        <f ca="1">I7-$J$7</f>
        <v>0</v>
      </c>
    </row>
    <row r="8" spans="1:16" ht="14.25" customHeight="1" x14ac:dyDescent="0.2">
      <c r="A8" s="28">
        <v>2</v>
      </c>
      <c r="B8" s="2">
        <f ca="1">IF(A8=sheet4!$A$7,sheet4!$B$7,B8)</f>
        <v>700.03</v>
      </c>
      <c r="C8" s="2">
        <f t="shared" ref="C8:C46" ca="1" si="0">ABS($F$7-B8)</f>
        <v>27.83885245901638</v>
      </c>
      <c r="D8" s="50">
        <f ca="1">C8/C7^$E$7</f>
        <v>0.99964091877700501</v>
      </c>
      <c r="E8">
        <v>1</v>
      </c>
      <c r="H8" s="62">
        <v>1.05</v>
      </c>
      <c r="I8" s="30">
        <f t="shared" ref="I8:I27" ca="1" si="1">IF(H8=$E$7,$G$7,I8)</f>
        <v>1.8066427802550972E-5</v>
      </c>
      <c r="K8" s="89">
        <f t="shared" ref="K8:K27" ca="1" si="2">I8-$J$7</f>
        <v>1.7933896329694629E-5</v>
      </c>
    </row>
    <row r="9" spans="1:16" x14ac:dyDescent="0.2">
      <c r="A9" s="28">
        <v>3</v>
      </c>
      <c r="B9" s="2">
        <f ca="1">IF(A9=sheet4!$A$7,sheet4!$B$7,B9)</f>
        <v>700.04</v>
      </c>
      <c r="C9" s="2">
        <f t="shared" ca="1" si="0"/>
        <v>27.828852459016389</v>
      </c>
      <c r="D9" s="50">
        <f t="shared" ref="D9:D46" ca="1" si="3">C9/C8^$E$7</f>
        <v>0.99964078979136395</v>
      </c>
      <c r="H9" s="62">
        <v>1.1000000000000001</v>
      </c>
      <c r="I9" s="30">
        <f t="shared" ca="1" si="1"/>
        <v>3.6265055875750586E-5</v>
      </c>
      <c r="K9" s="89">
        <f t="shared" ca="1" si="2"/>
        <v>3.6132524402894243E-5</v>
      </c>
    </row>
    <row r="10" spans="1:16" x14ac:dyDescent="0.2">
      <c r="A10" s="28">
        <v>4</v>
      </c>
      <c r="B10" s="2">
        <f ca="1">IF(A10=sheet4!$A$7,sheet4!$B$7,B10)</f>
        <v>700.05</v>
      </c>
      <c r="C10" s="2">
        <f t="shared" ca="1" si="0"/>
        <v>27.818852459016398</v>
      </c>
      <c r="D10" s="50">
        <f t="shared" ca="1" si="3"/>
        <v>0.99964066071302371</v>
      </c>
      <c r="H10" s="62">
        <v>1.1499999999999999</v>
      </c>
      <c r="I10" s="30">
        <f t="shared" ca="1" si="1"/>
        <v>5.4463352752327386E-5</v>
      </c>
      <c r="K10" s="89">
        <f t="shared" ca="1" si="2"/>
        <v>5.4330821279471042E-5</v>
      </c>
    </row>
    <row r="11" spans="1:16" x14ac:dyDescent="0.2">
      <c r="A11" s="28">
        <v>5</v>
      </c>
      <c r="B11" s="2">
        <f ca="1">IF(A11=sheet4!$A$7,sheet4!$B$7,B11)</f>
        <v>700.06</v>
      </c>
      <c r="C11" s="2">
        <f t="shared" ca="1" si="0"/>
        <v>27.808852459016407</v>
      </c>
      <c r="D11" s="50">
        <f t="shared" ca="1" si="3"/>
        <v>0.99964053154188426</v>
      </c>
      <c r="H11" s="62">
        <v>1.2</v>
      </c>
      <c r="I11" s="30">
        <f t="shared" ca="1" si="1"/>
        <v>7.2661318439686025E-5</v>
      </c>
      <c r="K11" s="89">
        <f t="shared" ca="1" si="2"/>
        <v>7.2528786966829682E-5</v>
      </c>
    </row>
    <row r="12" spans="1:16" x14ac:dyDescent="0.2">
      <c r="A12" s="28">
        <v>6</v>
      </c>
      <c r="B12" s="2">
        <f ca="1">IF(A12=sheet4!$A$7,sheet4!$B$7,B12)</f>
        <v>700.06999999999994</v>
      </c>
      <c r="C12" s="2">
        <f t="shared" ca="1" si="0"/>
        <v>27.798852459016416</v>
      </c>
      <c r="D12" s="50">
        <f t="shared" ca="1" si="3"/>
        <v>0.99964040227784556</v>
      </c>
      <c r="H12" s="62">
        <v>1.25</v>
      </c>
      <c r="I12" s="30">
        <f t="shared" ca="1" si="1"/>
        <v>9.0858952941818029E-5</v>
      </c>
      <c r="K12" s="89">
        <f t="shared" ca="1" si="2"/>
        <v>9.0726421468961685E-5</v>
      </c>
    </row>
    <row r="13" spans="1:16" x14ac:dyDescent="0.2">
      <c r="A13" s="28">
        <v>7</v>
      </c>
      <c r="B13" s="2">
        <f ca="1">IF(A13=sheet4!$A$7,sheet4!$B$7,B13)</f>
        <v>700.07999999999993</v>
      </c>
      <c r="C13" s="2">
        <f t="shared" ca="1" si="0"/>
        <v>27.788852459016425</v>
      </c>
      <c r="D13" s="50">
        <f t="shared" ca="1" si="3"/>
        <v>0.99964027292080726</v>
      </c>
      <c r="H13" s="62">
        <v>1.3</v>
      </c>
      <c r="I13" s="30">
        <f t="shared" ca="1" si="1"/>
        <v>1.0905625626754071E-4</v>
      </c>
      <c r="K13" s="89">
        <f t="shared" ca="1" si="2"/>
        <v>1.0892372479468437E-4</v>
      </c>
    </row>
    <row r="14" spans="1:16" x14ac:dyDescent="0.2">
      <c r="A14" s="28">
        <v>8</v>
      </c>
      <c r="B14" s="2">
        <f ca="1">IF(A14=sheet4!$A$7,sheet4!$B$7,B14)</f>
        <v>700.08999999999992</v>
      </c>
      <c r="C14" s="2">
        <f t="shared" ca="1" si="0"/>
        <v>27.778852459016434</v>
      </c>
      <c r="D14" s="50">
        <f t="shared" ca="1" si="3"/>
        <v>0.9996401434706691</v>
      </c>
      <c r="H14" s="62">
        <v>1.35</v>
      </c>
      <c r="I14" s="30">
        <f t="shared" ca="1" si="1"/>
        <v>1.2725322842008203E-4</v>
      </c>
      <c r="K14" s="89">
        <f t="shared" ca="1" si="2"/>
        <v>1.2712069694722567E-4</v>
      </c>
    </row>
    <row r="15" spans="1:16" x14ac:dyDescent="0.2">
      <c r="A15" s="28">
        <v>9</v>
      </c>
      <c r="B15" s="2">
        <f ca="1">IF(A15=sheet4!$A$7,sheet4!$B$7,B15)</f>
        <v>700.09999999999991</v>
      </c>
      <c r="C15" s="2">
        <f t="shared" ca="1" si="0"/>
        <v>27.768852459016443</v>
      </c>
      <c r="D15" s="50">
        <f t="shared" ca="1" si="3"/>
        <v>0.99964001392733037</v>
      </c>
      <c r="H15" s="62">
        <v>1.4</v>
      </c>
      <c r="I15" s="30">
        <f t="shared" ca="1" si="1"/>
        <v>1.4544986940792035E-4</v>
      </c>
      <c r="K15" s="89">
        <f t="shared" ca="1" si="2"/>
        <v>1.45317337935064E-4</v>
      </c>
    </row>
    <row r="16" spans="1:16" x14ac:dyDescent="0.2">
      <c r="A16" s="28">
        <v>10</v>
      </c>
      <c r="B16" s="2">
        <f ca="1">IF(A16=sheet4!$A$7,sheet4!$B$7,B16)</f>
        <v>700.1099999999999</v>
      </c>
      <c r="C16" s="2">
        <f t="shared" ca="1" si="0"/>
        <v>27.758852459016452</v>
      </c>
      <c r="D16" s="50">
        <f t="shared" ca="1" si="3"/>
        <v>0.99963988429069051</v>
      </c>
      <c r="H16" s="62">
        <v>1.45</v>
      </c>
      <c r="I16" s="30">
        <f t="shared" ca="1" si="1"/>
        <v>1.6364617923485952E-4</v>
      </c>
      <c r="K16" s="89">
        <f t="shared" ca="1" si="2"/>
        <v>1.6351364776200317E-4</v>
      </c>
    </row>
    <row r="17" spans="1:11" x14ac:dyDescent="0.2">
      <c r="A17" s="28">
        <v>11</v>
      </c>
      <c r="B17" s="2">
        <f ca="1">IF(A17=sheet4!$A$7,sheet4!$B$7,B17)</f>
        <v>700.11999999999989</v>
      </c>
      <c r="C17" s="2">
        <f t="shared" ca="1" si="0"/>
        <v>27.748852459016462</v>
      </c>
      <c r="D17" s="50">
        <f t="shared" ca="1" si="3"/>
        <v>0.99963975456064857</v>
      </c>
      <c r="H17" s="62">
        <v>1.5</v>
      </c>
      <c r="I17" s="30">
        <f t="shared" ca="1" si="1"/>
        <v>1.8184215790909838E-4</v>
      </c>
      <c r="K17" s="89">
        <f t="shared" ca="1" si="2"/>
        <v>1.8170962643624202E-4</v>
      </c>
    </row>
    <row r="18" spans="1:11" x14ac:dyDescent="0.2">
      <c r="A18" s="28">
        <v>12</v>
      </c>
      <c r="B18" s="2">
        <f ca="1">IF(A18=sheet4!$A$7,sheet4!$B$7,B18)</f>
        <v>700.12999999999988</v>
      </c>
      <c r="C18" s="2">
        <f t="shared" ca="1" si="0"/>
        <v>27.738852459016471</v>
      </c>
      <c r="D18" s="50">
        <f t="shared" ca="1" si="3"/>
        <v>0.99963962473710366</v>
      </c>
      <c r="H18" s="62">
        <v>1.55</v>
      </c>
      <c r="I18" s="30">
        <f t="shared" ca="1" si="1"/>
        <v>2.0003780543339692E-4</v>
      </c>
      <c r="K18" s="89">
        <f t="shared" ca="1" si="2"/>
        <v>1.9990527396054056E-4</v>
      </c>
    </row>
    <row r="19" spans="1:11" x14ac:dyDescent="0.2">
      <c r="A19" s="28">
        <v>13</v>
      </c>
      <c r="B19" s="2">
        <f ca="1">IF(A19=sheet4!$A$7,sheet4!$B$7,B19)</f>
        <v>700.13999999999987</v>
      </c>
      <c r="C19" s="2">
        <f t="shared" ca="1" si="0"/>
        <v>27.72885245901648</v>
      </c>
      <c r="D19" s="50">
        <f t="shared" ca="1" si="3"/>
        <v>0.99963949481995462</v>
      </c>
      <c r="H19" s="62">
        <v>1.6</v>
      </c>
      <c r="I19" s="30">
        <f t="shared" ca="1" si="1"/>
        <v>2.1823312181695422E-4</v>
      </c>
      <c r="K19" s="89">
        <f t="shared" ca="1" si="2"/>
        <v>2.1810059034409787E-4</v>
      </c>
    </row>
    <row r="20" spans="1:11" x14ac:dyDescent="0.2">
      <c r="A20" s="28">
        <v>14</v>
      </c>
      <c r="B20" s="2">
        <f ca="1">IF(A20=sheet4!$A$7,sheet4!$B$7,B20)</f>
        <v>700.14999999999986</v>
      </c>
      <c r="C20" s="2">
        <f t="shared" ca="1" si="0"/>
        <v>27.718852459016489</v>
      </c>
      <c r="D20" s="50">
        <f t="shared" ca="1" si="3"/>
        <v>0.99963936480910021</v>
      </c>
      <c r="H20" s="62">
        <v>1.65</v>
      </c>
      <c r="I20" s="30">
        <f t="shared" ca="1" si="1"/>
        <v>2.36428107065546E-4</v>
      </c>
      <c r="K20" s="89">
        <f t="shared" ca="1" si="2"/>
        <v>2.3629557559268964E-4</v>
      </c>
    </row>
    <row r="21" spans="1:11" x14ac:dyDescent="0.2">
      <c r="A21" s="28">
        <v>15</v>
      </c>
      <c r="B21" s="2">
        <f ca="1">IF(A21=sheet4!$A$7,sheet4!$B$7,B21)</f>
        <v>700.15999999999985</v>
      </c>
      <c r="C21" s="2">
        <f t="shared" ca="1" si="0"/>
        <v>27.708852459016498</v>
      </c>
      <c r="D21" s="50">
        <f t="shared" ca="1" si="3"/>
        <v>0.99963923470443894</v>
      </c>
      <c r="H21" s="62">
        <v>1.7</v>
      </c>
      <c r="I21" s="30">
        <f t="shared" ca="1" si="1"/>
        <v>2.5462276118353512E-4</v>
      </c>
      <c r="K21" s="89">
        <f t="shared" ca="1" si="2"/>
        <v>2.5449022971067877E-4</v>
      </c>
    </row>
    <row r="22" spans="1:11" x14ac:dyDescent="0.2">
      <c r="A22" s="28">
        <v>16</v>
      </c>
      <c r="B22" s="2">
        <f ca="1">IF(A22=sheet4!$A$7,sheet4!$B$7,B22)</f>
        <v>700.16999999999985</v>
      </c>
      <c r="C22" s="2">
        <f t="shared" ca="1" si="0"/>
        <v>27.698852459016507</v>
      </c>
      <c r="D22" s="50">
        <f t="shared" ca="1" si="3"/>
        <v>0.99963910450586935</v>
      </c>
      <c r="H22" s="62">
        <v>1.75</v>
      </c>
      <c r="I22" s="30">
        <f t="shared" ca="1" si="1"/>
        <v>2.7281708417848353E-4</v>
      </c>
      <c r="K22" s="89">
        <f t="shared" ca="1" si="2"/>
        <v>2.7268455270562718E-4</v>
      </c>
    </row>
    <row r="23" spans="1:11" x14ac:dyDescent="0.2">
      <c r="A23" s="28">
        <v>17</v>
      </c>
      <c r="B23" s="2">
        <f ca="1">IF(A23=sheet4!$A$7,sheet4!$B$7,B23)</f>
        <v>700.17999999999984</v>
      </c>
      <c r="C23" s="2">
        <f t="shared" ca="1" si="0"/>
        <v>27.688852459016516</v>
      </c>
      <c r="D23" s="50">
        <f t="shared" ca="1" si="3"/>
        <v>0.99963897421328962</v>
      </c>
      <c r="H23" s="62">
        <v>1.8</v>
      </c>
      <c r="I23" s="30">
        <f t="shared" ca="1" si="1"/>
        <v>2.9101107605530993E-4</v>
      </c>
      <c r="K23" s="89">
        <f t="shared" ca="1" si="2"/>
        <v>2.9087854458245357E-4</v>
      </c>
    </row>
    <row r="24" spans="1:11" x14ac:dyDescent="0.2">
      <c r="A24" s="28">
        <v>18</v>
      </c>
      <c r="B24" s="2">
        <f ca="1">IF(A24=sheet4!$A$7,sheet4!$B$7,B24)</f>
        <v>700.18999999999983</v>
      </c>
      <c r="C24" s="2">
        <f t="shared" ca="1" si="0"/>
        <v>27.678852459016525</v>
      </c>
      <c r="D24" s="50">
        <f t="shared" ca="1" si="3"/>
        <v>0.99963884382659796</v>
      </c>
      <c r="H24" s="62">
        <v>1.85</v>
      </c>
      <c r="I24" s="30">
        <f t="shared" ca="1" si="1"/>
        <v>3.0920473682099467E-4</v>
      </c>
      <c r="K24" s="89">
        <f t="shared" ca="1" si="2"/>
        <v>3.0907220534813831E-4</v>
      </c>
    </row>
    <row r="25" spans="1:11" x14ac:dyDescent="0.2">
      <c r="A25" s="28">
        <v>19</v>
      </c>
      <c r="B25" s="2">
        <f ca="1">IF(A25=sheet4!$A$7,sheet4!$B$7,B25)</f>
        <v>700.19999999999982</v>
      </c>
      <c r="C25" s="2">
        <f t="shared" ca="1" si="0"/>
        <v>27.668852459016534</v>
      </c>
      <c r="D25" s="50">
        <f t="shared" ca="1" si="3"/>
        <v>0.99963871334569243</v>
      </c>
      <c r="H25" s="62">
        <v>1.9</v>
      </c>
      <c r="I25" s="30">
        <f t="shared" ca="1" si="1"/>
        <v>3.2739806647924058E-4</v>
      </c>
      <c r="K25" s="89">
        <f t="shared" ca="1" si="2"/>
        <v>3.2726553500638422E-4</v>
      </c>
    </row>
    <row r="26" spans="1:11" x14ac:dyDescent="0.2">
      <c r="A26" s="28">
        <v>20</v>
      </c>
      <c r="B26" s="2">
        <f ca="1">IF(A26=sheet4!$A$7,sheet4!$B$7,B26)</f>
        <v>700.20999999999981</v>
      </c>
      <c r="C26" s="2">
        <f t="shared" ca="1" si="0"/>
        <v>27.658852459016543</v>
      </c>
      <c r="D26" s="50">
        <f t="shared" ca="1" si="3"/>
        <v>0.9996385827704708</v>
      </c>
      <c r="H26" s="62">
        <v>1.95</v>
      </c>
      <c r="I26" s="30">
        <f t="shared" ca="1" si="1"/>
        <v>3.4559106503993884E-4</v>
      </c>
      <c r="K26" s="89">
        <f t="shared" ca="1" si="2"/>
        <v>3.4545853356708248E-4</v>
      </c>
    </row>
    <row r="27" spans="1:11" ht="13.5" thickBot="1" x14ac:dyDescent="0.25">
      <c r="A27" s="28">
        <v>21</v>
      </c>
      <c r="B27" s="2">
        <f ca="1">IF(A27=sheet4!$A$7,sheet4!$B$7,B27)</f>
        <v>700.2199999999998</v>
      </c>
      <c r="C27" s="2">
        <f t="shared" ca="1" si="0"/>
        <v>27.648852459016553</v>
      </c>
      <c r="D27" s="50">
        <f t="shared" ca="1" si="3"/>
        <v>0.99963845210083069</v>
      </c>
      <c r="H27" s="94">
        <v>2</v>
      </c>
      <c r="I27" s="33">
        <f t="shared" ca="1" si="1"/>
        <v>3.6378373250591867E-4</v>
      </c>
      <c r="K27" s="90">
        <f t="shared" ca="1" si="2"/>
        <v>3.6365120103306231E-4</v>
      </c>
    </row>
    <row r="28" spans="1:11" ht="12.75" customHeight="1" x14ac:dyDescent="0.2">
      <c r="A28" s="28">
        <v>22</v>
      </c>
      <c r="B28" s="2">
        <f ca="1">IF(A28=sheet4!$A$7,sheet4!$B$7,B28)</f>
        <v>700.22999999999979</v>
      </c>
      <c r="C28" s="2">
        <f t="shared" ca="1" si="0"/>
        <v>27.638852459016562</v>
      </c>
      <c r="D28" s="50">
        <f t="shared" ca="1" si="3"/>
        <v>0.99963832133666986</v>
      </c>
    </row>
    <row r="29" spans="1:11" ht="12.75" customHeight="1" x14ac:dyDescent="0.2">
      <c r="A29" s="28">
        <v>23</v>
      </c>
      <c r="B29" s="2">
        <f ca="1">IF(A29=sheet4!$A$7,sheet4!$B$7,B29)</f>
        <v>700.23999999999978</v>
      </c>
      <c r="C29" s="2">
        <f t="shared" ca="1" si="0"/>
        <v>27.628852459016571</v>
      </c>
      <c r="D29" s="50">
        <f t="shared" ca="1" si="3"/>
        <v>0.99963819047788549</v>
      </c>
    </row>
    <row r="30" spans="1:11" ht="12.75" customHeight="1" x14ac:dyDescent="0.2">
      <c r="A30" s="28">
        <v>24</v>
      </c>
      <c r="B30" s="2">
        <f ca="1">IF(A30=sheet4!$A$7,sheet4!$B$7,B30)</f>
        <v>700.24999999999977</v>
      </c>
      <c r="C30" s="2">
        <f t="shared" ca="1" si="0"/>
        <v>27.61885245901658</v>
      </c>
      <c r="D30" s="50">
        <f t="shared" ca="1" si="3"/>
        <v>0.9996380595243749</v>
      </c>
    </row>
    <row r="31" spans="1:11" ht="12.75" customHeight="1" x14ac:dyDescent="0.2">
      <c r="A31" s="28">
        <v>25</v>
      </c>
      <c r="B31" s="2">
        <f ca="1">IF(A31=sheet4!$A$7,sheet4!$B$7,B31)</f>
        <v>700.25999999999976</v>
      </c>
      <c r="C31" s="2">
        <f t="shared" ca="1" si="0"/>
        <v>27.608852459016589</v>
      </c>
      <c r="D31" s="50">
        <f t="shared" ca="1" si="3"/>
        <v>0.99963792847603539</v>
      </c>
    </row>
    <row r="32" spans="1:11" ht="12.75" customHeight="1" x14ac:dyDescent="0.2">
      <c r="A32" s="28">
        <v>26</v>
      </c>
      <c r="B32" s="2">
        <f ca="1">IF(A32=sheet4!$A$7,sheet4!$B$7,B32)</f>
        <v>700.26999999999975</v>
      </c>
      <c r="C32" s="2">
        <f t="shared" ca="1" si="0"/>
        <v>27.598852459016598</v>
      </c>
      <c r="D32" s="50">
        <f t="shared" ca="1" si="3"/>
        <v>0.99963779733276359</v>
      </c>
    </row>
    <row r="33" spans="1:13" ht="12.75" customHeight="1" x14ac:dyDescent="0.2">
      <c r="A33" s="28">
        <v>27</v>
      </c>
      <c r="B33" s="2">
        <f ca="1">IF(A33=sheet4!$A$7,sheet4!$B$7,B33)</f>
        <v>700.27999999999975</v>
      </c>
      <c r="C33" s="2">
        <f t="shared" ca="1" si="0"/>
        <v>27.588852459016607</v>
      </c>
      <c r="D33" s="50">
        <f t="shared" ca="1" si="3"/>
        <v>0.99963766609445659</v>
      </c>
    </row>
    <row r="34" spans="1:13" ht="13.5" customHeight="1" x14ac:dyDescent="0.2">
      <c r="A34" s="28">
        <v>28</v>
      </c>
      <c r="B34" s="2">
        <f ca="1">IF(A34=sheet4!$A$7,sheet4!$B$7,B34)</f>
        <v>700.28999999999974</v>
      </c>
      <c r="C34" s="2">
        <f t="shared" ca="1" si="0"/>
        <v>27.578852459016616</v>
      </c>
      <c r="D34" s="50">
        <f t="shared" ca="1" si="3"/>
        <v>0.99963753476101092</v>
      </c>
      <c r="F34" s="98">
        <v>1.1574076779652387</v>
      </c>
      <c r="G34" s="99"/>
      <c r="H34" s="97">
        <v>1.1574069503694773</v>
      </c>
    </row>
    <row r="35" spans="1:13" ht="21" customHeight="1" thickBot="1" x14ac:dyDescent="0.25">
      <c r="A35" s="28">
        <v>29</v>
      </c>
      <c r="B35" s="2">
        <f ca="1">IF(A35=sheet4!$A$7,sheet4!$B$7,B35)</f>
        <v>700.29999999999973</v>
      </c>
      <c r="C35" s="2">
        <f t="shared" ca="1" si="0"/>
        <v>27.568852459016625</v>
      </c>
      <c r="D35" s="50">
        <f t="shared" ca="1" si="3"/>
        <v>0.9996374033323232</v>
      </c>
      <c r="F35" s="96" t="s">
        <v>73</v>
      </c>
    </row>
    <row r="36" spans="1:13" ht="12.75" customHeight="1" x14ac:dyDescent="0.2">
      <c r="A36" s="28">
        <v>30</v>
      </c>
      <c r="B36" s="2">
        <f ca="1">IF(A36=sheet4!$A$7,sheet4!$B$7,B36)</f>
        <v>700.30999999999972</v>
      </c>
      <c r="C36" s="2">
        <f t="shared" ca="1" si="0"/>
        <v>27.558852459016634</v>
      </c>
      <c r="D36" s="50">
        <f t="shared" ca="1" si="3"/>
        <v>0.99963727180828954</v>
      </c>
      <c r="F36" s="129" t="s">
        <v>71</v>
      </c>
      <c r="G36" s="130"/>
      <c r="H36" s="130"/>
      <c r="I36" s="130"/>
      <c r="J36" s="131"/>
      <c r="K36" s="92"/>
      <c r="L36" s="92"/>
      <c r="M36" s="92"/>
    </row>
    <row r="37" spans="1:13" ht="12.75" customHeight="1" x14ac:dyDescent="0.2">
      <c r="A37" s="28">
        <v>31</v>
      </c>
      <c r="B37" s="2">
        <f ca="1">IF(A37=sheet4!$A$7,sheet4!$B$7,B37)</f>
        <v>700.31999999999971</v>
      </c>
      <c r="C37" s="2">
        <f t="shared" ca="1" si="0"/>
        <v>27.548852459016643</v>
      </c>
      <c r="D37" s="50">
        <f t="shared" ca="1" si="3"/>
        <v>0.99963714018880645</v>
      </c>
      <c r="F37" s="132"/>
      <c r="G37" s="133"/>
      <c r="H37" s="133"/>
      <c r="I37" s="133"/>
      <c r="J37" s="134"/>
      <c r="K37" s="92"/>
      <c r="L37" s="92"/>
      <c r="M37" s="92"/>
    </row>
    <row r="38" spans="1:13" ht="12.75" customHeight="1" x14ac:dyDescent="0.2">
      <c r="A38" s="28">
        <v>32</v>
      </c>
      <c r="B38" s="2">
        <f ca="1">IF(A38=sheet4!$A$7,sheet4!$B$7,B38)</f>
        <v>700.3299999999997</v>
      </c>
      <c r="C38" s="2">
        <f t="shared" ca="1" si="0"/>
        <v>27.538852459016653</v>
      </c>
      <c r="D38" s="50">
        <f t="shared" ca="1" si="3"/>
        <v>0.99963700847376968</v>
      </c>
      <c r="F38" s="132"/>
      <c r="G38" s="133"/>
      <c r="H38" s="133"/>
      <c r="I38" s="133"/>
      <c r="J38" s="134"/>
      <c r="K38" s="92"/>
      <c r="L38" s="92"/>
      <c r="M38" s="92"/>
    </row>
    <row r="39" spans="1:13" ht="12.75" customHeight="1" x14ac:dyDescent="0.2">
      <c r="A39" s="28">
        <v>33</v>
      </c>
      <c r="B39" s="2">
        <f ca="1">IF(A39=sheet4!$A$7,sheet4!$B$7,B39)</f>
        <v>700.33999999999969</v>
      </c>
      <c r="C39" s="2">
        <f t="shared" ca="1" si="0"/>
        <v>27.528852459016662</v>
      </c>
      <c r="D39" s="50">
        <f t="shared" ca="1" si="3"/>
        <v>0.99963687666307544</v>
      </c>
      <c r="F39" s="132"/>
      <c r="G39" s="133"/>
      <c r="H39" s="133"/>
      <c r="I39" s="133"/>
      <c r="J39" s="134"/>
      <c r="K39" s="92"/>
      <c r="L39" s="92"/>
      <c r="M39" s="92"/>
    </row>
    <row r="40" spans="1:13" ht="12.75" customHeight="1" x14ac:dyDescent="0.2">
      <c r="A40" s="28">
        <v>34</v>
      </c>
      <c r="B40" s="2">
        <f ca="1">IF(A40=sheet4!$A$7,sheet4!$B$7,B40)</f>
        <v>700.34999999999968</v>
      </c>
      <c r="C40" s="2">
        <f t="shared" ca="1" si="0"/>
        <v>27.518852459016671</v>
      </c>
      <c r="D40" s="50">
        <f t="shared" ca="1" si="3"/>
        <v>0.99963674475661934</v>
      </c>
      <c r="F40" s="132"/>
      <c r="G40" s="133"/>
      <c r="H40" s="133"/>
      <c r="I40" s="133"/>
      <c r="J40" s="134"/>
      <c r="K40" s="92"/>
      <c r="L40" s="92"/>
      <c r="M40" s="92"/>
    </row>
    <row r="41" spans="1:13" ht="12.75" customHeight="1" x14ac:dyDescent="0.2">
      <c r="A41" s="28">
        <v>35</v>
      </c>
      <c r="B41" s="2">
        <f ca="1">IF(A41=sheet4!$A$7,sheet4!$B$7,B41)</f>
        <v>700.35999999999967</v>
      </c>
      <c r="C41" s="2">
        <f t="shared" ca="1" si="0"/>
        <v>27.50885245901668</v>
      </c>
      <c r="D41" s="50">
        <f t="shared" ca="1" si="3"/>
        <v>0.99963661275429694</v>
      </c>
      <c r="F41" s="132"/>
      <c r="G41" s="133"/>
      <c r="H41" s="133"/>
      <c r="I41" s="133"/>
      <c r="J41" s="134"/>
      <c r="K41" s="92"/>
      <c r="L41" s="92"/>
      <c r="M41" s="92"/>
    </row>
    <row r="42" spans="1:13" ht="12.75" customHeight="1" thickBot="1" x14ac:dyDescent="0.25">
      <c r="A42" s="28">
        <v>36</v>
      </c>
      <c r="B42" s="2">
        <f ca="1">IF(A42=sheet4!$A$7,sheet4!$B$7,B42)</f>
        <v>700.36999999999966</v>
      </c>
      <c r="C42" s="2">
        <f t="shared" ca="1" si="0"/>
        <v>27.498852459016689</v>
      </c>
      <c r="D42" s="50">
        <f t="shared" ca="1" si="3"/>
        <v>0.99963648065600375</v>
      </c>
      <c r="F42" s="135"/>
      <c r="G42" s="136"/>
      <c r="H42" s="136"/>
      <c r="I42" s="136"/>
      <c r="J42" s="137"/>
      <c r="K42" s="92"/>
      <c r="L42" s="92"/>
      <c r="M42" s="92"/>
    </row>
    <row r="43" spans="1:13" ht="12.75" customHeight="1" thickBot="1" x14ac:dyDescent="0.25">
      <c r="A43" s="28">
        <v>37</v>
      </c>
      <c r="B43" s="2">
        <f ca="1">IF(A43=sheet4!$A$7,sheet4!$B$7,B43)</f>
        <v>700.37999999999965</v>
      </c>
      <c r="C43" s="2">
        <f t="shared" ca="1" si="0"/>
        <v>27.488852459016698</v>
      </c>
      <c r="D43" s="50">
        <f t="shared" ca="1" si="3"/>
        <v>0.99963634846163507</v>
      </c>
      <c r="F43" s="92"/>
      <c r="G43" s="92"/>
      <c r="H43" s="92"/>
      <c r="I43" s="92"/>
      <c r="J43" s="92"/>
      <c r="K43" s="92"/>
      <c r="L43" s="92"/>
      <c r="M43" s="92"/>
    </row>
    <row r="44" spans="1:13" ht="12.75" customHeight="1" x14ac:dyDescent="0.2">
      <c r="A44" s="28">
        <v>38</v>
      </c>
      <c r="B44" s="2">
        <f ca="1">IF(A44=sheet4!$A$7,sheet4!$B$7,B44)</f>
        <v>700.38999999999965</v>
      </c>
      <c r="C44" s="2">
        <f t="shared" ca="1" si="0"/>
        <v>27.478852459016707</v>
      </c>
      <c r="D44" s="50">
        <f t="shared" ca="1" si="3"/>
        <v>0.99963621617108611</v>
      </c>
      <c r="F44" s="129" t="s">
        <v>72</v>
      </c>
      <c r="G44" s="130"/>
      <c r="H44" s="130"/>
      <c r="I44" s="130"/>
      <c r="J44" s="131"/>
      <c r="K44" s="92"/>
      <c r="L44" s="92"/>
      <c r="M44" s="92"/>
    </row>
    <row r="45" spans="1:13" ht="12.75" customHeight="1" x14ac:dyDescent="0.2">
      <c r="A45" s="28">
        <v>39</v>
      </c>
      <c r="B45" s="2">
        <f ca="1">IF(A45=sheet4!$A$7,sheet4!$B$7,B45)</f>
        <v>700.39999999999964</v>
      </c>
      <c r="C45" s="2">
        <f t="shared" ca="1" si="0"/>
        <v>27.468852459016716</v>
      </c>
      <c r="D45" s="50">
        <f t="shared" ca="1" si="3"/>
        <v>0.99963608378425173</v>
      </c>
      <c r="F45" s="132"/>
      <c r="G45" s="133"/>
      <c r="H45" s="133"/>
      <c r="I45" s="133"/>
      <c r="J45" s="134"/>
      <c r="K45" s="92"/>
      <c r="L45" s="92"/>
      <c r="M45" s="92"/>
    </row>
    <row r="46" spans="1:13" ht="13.5" customHeight="1" thickBot="1" x14ac:dyDescent="0.25">
      <c r="A46" s="31">
        <v>40</v>
      </c>
      <c r="B46" s="32">
        <f ca="1">IF(A46=sheet4!$A$7,sheet4!$B$7,B46)</f>
        <v>700.40999999999963</v>
      </c>
      <c r="C46" s="32">
        <f t="shared" ca="1" si="0"/>
        <v>27.458852459016725</v>
      </c>
      <c r="D46" s="51">
        <f t="shared" ca="1" si="3"/>
        <v>0.99963595130102678</v>
      </c>
      <c r="E46">
        <v>0.99995603793709831</v>
      </c>
      <c r="F46" s="132"/>
      <c r="G46" s="133"/>
      <c r="H46" s="133"/>
      <c r="I46" s="133"/>
      <c r="J46" s="134"/>
      <c r="K46" s="92"/>
      <c r="L46" s="92"/>
      <c r="M46" s="92"/>
    </row>
    <row r="47" spans="1:13" ht="13.5" customHeight="1" x14ac:dyDescent="0.2">
      <c r="D47">
        <v>0.99995603793709831</v>
      </c>
      <c r="F47" s="132"/>
      <c r="G47" s="133"/>
      <c r="H47" s="133"/>
      <c r="I47" s="133"/>
      <c r="J47" s="134"/>
      <c r="K47" s="92"/>
      <c r="L47" s="92"/>
      <c r="M47" s="92"/>
    </row>
    <row r="48" spans="1:13" ht="12.75" customHeight="1" x14ac:dyDescent="0.2">
      <c r="F48" s="132"/>
      <c r="G48" s="133"/>
      <c r="H48" s="133"/>
      <c r="I48" s="133"/>
      <c r="J48" s="134"/>
    </row>
    <row r="49" spans="6:10" ht="12.75" customHeight="1" x14ac:dyDescent="0.2">
      <c r="F49" s="132"/>
      <c r="G49" s="133"/>
      <c r="H49" s="133"/>
      <c r="I49" s="133"/>
      <c r="J49" s="134"/>
    </row>
    <row r="50" spans="6:10" ht="12.75" customHeight="1" thickBot="1" x14ac:dyDescent="0.25">
      <c r="F50" s="135"/>
      <c r="G50" s="136"/>
      <c r="H50" s="136"/>
      <c r="I50" s="136"/>
      <c r="J50" s="137"/>
    </row>
    <row r="51" spans="6:10" ht="12.75" customHeight="1" x14ac:dyDescent="0.2">
      <c r="F51" s="95"/>
      <c r="G51" s="95"/>
      <c r="H51" s="95"/>
      <c r="I51" s="95"/>
      <c r="J51" s="95"/>
    </row>
    <row r="52" spans="6:10" ht="12.75" customHeight="1" x14ac:dyDescent="0.2">
      <c r="F52" s="95"/>
      <c r="G52" s="95"/>
      <c r="H52" s="95"/>
      <c r="I52" s="95"/>
      <c r="J52" s="95"/>
    </row>
    <row r="53" spans="6:10" ht="12.75" customHeight="1" x14ac:dyDescent="0.2">
      <c r="F53" s="95"/>
      <c r="G53" s="95"/>
      <c r="H53" s="95"/>
      <c r="I53" s="95"/>
      <c r="J53" s="95"/>
    </row>
    <row r="54" spans="6:10" ht="12.75" customHeight="1" x14ac:dyDescent="0.2">
      <c r="F54" s="95"/>
      <c r="G54" s="95"/>
      <c r="H54" s="95"/>
      <c r="I54" s="95"/>
      <c r="J54" s="95"/>
    </row>
    <row r="55" spans="6:10" ht="12.75" customHeight="1" x14ac:dyDescent="0.2">
      <c r="F55" s="95"/>
      <c r="G55" s="95"/>
      <c r="H55" s="95"/>
      <c r="I55" s="95"/>
      <c r="J55" s="95"/>
    </row>
    <row r="56" spans="6:10" ht="12.75" customHeight="1" x14ac:dyDescent="0.2">
      <c r="F56" s="95"/>
      <c r="G56" s="95"/>
      <c r="H56" s="95"/>
      <c r="I56" s="95"/>
      <c r="J56" s="95"/>
    </row>
  </sheetData>
  <mergeCells count="3">
    <mergeCell ref="H3:M5"/>
    <mergeCell ref="F36:J42"/>
    <mergeCell ref="F44:J50"/>
  </mergeCells>
  <phoneticPr fontId="0" type="noConversion"/>
  <conditionalFormatting sqref="H7:I27">
    <cfRule type="expression" dxfId="4" priority="2" stopIfTrue="1">
      <formula>$I7=$J$7</formula>
    </cfRule>
  </conditionalFormatting>
  <conditionalFormatting sqref="K7:K27">
    <cfRule type="expression" dxfId="3" priority="1">
      <formula>$J$7=$I7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List Box 2">
              <controlPr defaultSize="0" autoLine="0" autoPict="0">
                <anchor moveWithCells="1">
                  <from>
                    <xdr:col>4</xdr:col>
                    <xdr:colOff>9525</xdr:colOff>
                    <xdr:row>7</xdr:row>
                    <xdr:rowOff>9525</xdr:rowOff>
                  </from>
                  <to>
                    <xdr:col>5</xdr:col>
                    <xdr:colOff>19050</xdr:colOff>
                    <xdr:row>23</xdr:row>
                    <xdr:rowOff>47625</xdr:rowOff>
                  </to>
                </anchor>
              </controlPr>
            </control>
          </mc:Choice>
        </mc:AlternateContent>
        <mc:AlternateContent xmlns:mc="http://schemas.openxmlformats.org/markup-compatibility/2006">
          <mc:Choice Requires="x14">
            <control shapeId="4102" r:id="rId5" name="Button 6">
              <controlPr defaultSize="0" print="0" autoFill="0" autoPict="0" macro="[0]!ScanningRangeOfSigma_Click">
                <anchor moveWithCells="1" sizeWithCells="1">
                  <from>
                    <xdr:col>5</xdr:col>
                    <xdr:colOff>257175</xdr:colOff>
                    <xdr:row>24</xdr:row>
                    <xdr:rowOff>152400</xdr:rowOff>
                  </from>
                  <to>
                    <xdr:col>6</xdr:col>
                    <xdr:colOff>590550</xdr:colOff>
                    <xdr:row>32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61"/>
  <sheetViews>
    <sheetView zoomScale="120" zoomScaleNormal="120" workbookViewId="0">
      <selection activeCell="H61" sqref="H61"/>
    </sheetView>
  </sheetViews>
  <sheetFormatPr defaultRowHeight="12.75" x14ac:dyDescent="0.2"/>
  <cols>
    <col min="1" max="1" width="9.85546875" customWidth="1"/>
    <col min="2" max="2" width="11.42578125" customWidth="1"/>
    <col min="3" max="3" width="11.28515625" customWidth="1"/>
    <col min="4" max="4" width="12.42578125" customWidth="1"/>
    <col min="5" max="5" width="12.28515625" customWidth="1"/>
    <col min="6" max="6" width="15.85546875" customWidth="1"/>
    <col min="7" max="7" width="11.42578125" customWidth="1"/>
    <col min="8" max="8" width="11.7109375" customWidth="1"/>
    <col min="9" max="9" width="13.28515625" customWidth="1"/>
    <col min="10" max="10" width="13.5703125" customWidth="1"/>
    <col min="12" max="12" width="13.28515625" customWidth="1"/>
    <col min="13" max="13" width="22.140625" customWidth="1"/>
    <col min="14" max="14" width="14" customWidth="1"/>
    <col min="15" max="15" width="17.42578125" customWidth="1"/>
    <col min="16" max="16" width="7.140625" customWidth="1"/>
    <col min="19" max="19" width="10.7109375" customWidth="1"/>
  </cols>
  <sheetData>
    <row r="1" spans="1:11" ht="18" x14ac:dyDescent="0.25">
      <c r="A1" t="s">
        <v>17</v>
      </c>
    </row>
    <row r="2" spans="1:11" x14ac:dyDescent="0.2">
      <c r="A2" t="s">
        <v>23</v>
      </c>
    </row>
    <row r="3" spans="1:11" ht="13.5" thickBot="1" x14ac:dyDescent="0.25">
      <c r="A3" t="s">
        <v>9</v>
      </c>
      <c r="B3" s="1"/>
      <c r="C3" s="1"/>
      <c r="D3" s="1"/>
      <c r="E3" s="1"/>
      <c r="F3" s="1"/>
      <c r="G3" s="1"/>
    </row>
    <row r="4" spans="1:11" ht="35.25" customHeight="1" x14ac:dyDescent="0.2">
      <c r="G4" t="s">
        <v>24</v>
      </c>
      <c r="I4" s="5" t="s">
        <v>16</v>
      </c>
      <c r="J4" s="6" t="s">
        <v>19</v>
      </c>
    </row>
    <row r="5" spans="1:11" ht="16.5" customHeight="1" thickBot="1" x14ac:dyDescent="0.3">
      <c r="A5" s="7" t="s">
        <v>18</v>
      </c>
      <c r="G5" t="s">
        <v>15</v>
      </c>
      <c r="H5" s="8">
        <v>2</v>
      </c>
      <c r="I5" s="9">
        <f>INDEX(J16:J24,K5)</f>
        <v>10</v>
      </c>
      <c r="J5" s="10">
        <v>200</v>
      </c>
      <c r="K5">
        <v>1</v>
      </c>
    </row>
    <row r="6" spans="1:11" ht="39" thickBot="1" x14ac:dyDescent="0.25">
      <c r="A6" s="77" t="s">
        <v>20</v>
      </c>
      <c r="B6" s="78" t="s">
        <v>0</v>
      </c>
      <c r="C6" s="78" t="s">
        <v>1</v>
      </c>
      <c r="D6" s="78" t="s">
        <v>2</v>
      </c>
      <c r="E6" s="78" t="s">
        <v>10</v>
      </c>
      <c r="F6" s="78" t="s">
        <v>11</v>
      </c>
      <c r="G6" s="79" t="s">
        <v>3</v>
      </c>
      <c r="H6" s="79" t="s">
        <v>4</v>
      </c>
      <c r="I6" s="79" t="s">
        <v>5</v>
      </c>
      <c r="J6" s="79" t="s">
        <v>6</v>
      </c>
      <c r="K6" s="80" t="s">
        <v>21</v>
      </c>
    </row>
    <row r="7" spans="1:11" ht="42" customHeight="1" thickBot="1" x14ac:dyDescent="0.25">
      <c r="A7" s="11">
        <f ca="1">IF(H5=1,0,A7+1)</f>
        <v>0</v>
      </c>
      <c r="B7" s="12">
        <f ca="1">IF(A7=0,J5+INDEX(J16:J26,K5),B7+INDEX(J16:J26,K5))</f>
        <v>210</v>
      </c>
      <c r="C7" s="47">
        <f ca="1">Sheet1!B5/(B7+B7*Sheet1!C5)^(2*Sheet1!E5)</f>
        <v>5.6546971804657528E+37</v>
      </c>
      <c r="D7" s="47">
        <f ca="1">C7*(B7-Sheet1!D5)</f>
        <v>-7.9731230244567114E+40</v>
      </c>
      <c r="E7" s="47">
        <f ca="1">C7*Sheet1!D5</f>
        <v>9.1606094323545193E+40</v>
      </c>
      <c r="F7" s="13" t="str">
        <f ca="1">IF(A7=0,"The Program in  Initiale State ",IF($D$7&gt;0,IF($D$7&lt;$I$7,"Search is complete","Proceed iterations by clicking to button &lt;F9&gt;"),"Searching"))</f>
        <v xml:space="preserve">The Program in  Initiale State </v>
      </c>
      <c r="G7" s="14">
        <f ca="1">IF($A$7=0,B7,IF($D$7&gt;0,IF($D$7&lt;$I$7,G7,B7),B7))</f>
        <v>210</v>
      </c>
      <c r="H7" s="15">
        <f ca="1">IF($A$7=0,0,IF($D$7&gt;0,IF($D$7&lt;$I$7,H7,C7),C7))</f>
        <v>0</v>
      </c>
      <c r="I7" s="15">
        <f ca="1">IF($A$7=0,0,IF($D$7&gt;0,IF($D$7&lt;$I$7,I7,D7),D7))</f>
        <v>0</v>
      </c>
      <c r="J7" s="15">
        <f ca="1">IF($A$7=0,0,IF($D$7&gt;0,IF($D$7&lt;$I$7,J7,E7),E7))</f>
        <v>0</v>
      </c>
      <c r="K7" s="76">
        <f ca="1">IF($A$7=0,0,IF($D$7&gt;0,IF($D$7&lt;$I$7,K7,A7),A7))</f>
        <v>0</v>
      </c>
    </row>
    <row r="9" spans="1:11" ht="15.75" x14ac:dyDescent="0.25">
      <c r="A9" s="48" t="s">
        <v>34</v>
      </c>
    </row>
    <row r="10" spans="1:11" x14ac:dyDescent="0.2">
      <c r="A10" s="49" t="s">
        <v>36</v>
      </c>
    </row>
    <row r="11" spans="1:11" x14ac:dyDescent="0.2">
      <c r="A11" s="49" t="s">
        <v>35</v>
      </c>
    </row>
    <row r="12" spans="1:11" x14ac:dyDescent="0.2">
      <c r="A12" s="49" t="s">
        <v>40</v>
      </c>
    </row>
    <row r="14" spans="1:11" ht="13.5" thickBot="1" x14ac:dyDescent="0.25">
      <c r="A14" s="25" t="s">
        <v>52</v>
      </c>
    </row>
    <row r="15" spans="1:11" ht="26.25" customHeight="1" thickBot="1" x14ac:dyDescent="0.25">
      <c r="A15" s="38" t="s">
        <v>37</v>
      </c>
      <c r="B15" s="39" t="s">
        <v>3</v>
      </c>
      <c r="C15" s="39" t="s">
        <v>4</v>
      </c>
      <c r="D15" s="39" t="s">
        <v>5</v>
      </c>
      <c r="E15" s="39" t="s">
        <v>6</v>
      </c>
      <c r="F15" s="40" t="s">
        <v>21</v>
      </c>
      <c r="G15" s="39" t="s">
        <v>13</v>
      </c>
      <c r="H15" s="39" t="s">
        <v>7</v>
      </c>
      <c r="I15" s="39" t="s">
        <v>14</v>
      </c>
      <c r="J15" s="41" t="s">
        <v>12</v>
      </c>
    </row>
    <row r="16" spans="1:11" x14ac:dyDescent="0.2">
      <c r="A16" s="17">
        <v>1</v>
      </c>
      <c r="B16" s="18">
        <v>730</v>
      </c>
      <c r="C16" s="18">
        <v>43997018847463.594</v>
      </c>
      <c r="D16" s="18">
        <v>1.4519016219662986E+16</v>
      </c>
      <c r="E16" s="18">
        <v>1.7598807538985438E+16</v>
      </c>
      <c r="F16" s="18">
        <v>32</v>
      </c>
      <c r="G16" s="18">
        <v>10</v>
      </c>
      <c r="H16" s="18">
        <v>400</v>
      </c>
      <c r="I16" s="34">
        <f ca="1">ABS(H16-Sheet3!$C$14)</f>
        <v>372.22114754098357</v>
      </c>
      <c r="J16" s="19">
        <v>10</v>
      </c>
      <c r="K16" s="43"/>
    </row>
    <row r="17" spans="1:11" ht="14.25" customHeight="1" x14ac:dyDescent="0.2">
      <c r="A17" s="20">
        <v>2</v>
      </c>
      <c r="B17" s="4">
        <v>728</v>
      </c>
      <c r="C17" s="4">
        <v>44265802084317.602</v>
      </c>
      <c r="D17" s="4">
        <v>1.4519183083656174E+16</v>
      </c>
      <c r="E17" s="4">
        <v>1.770632083372704E+16</v>
      </c>
      <c r="F17" s="4">
        <v>327</v>
      </c>
      <c r="G17" s="4">
        <v>1</v>
      </c>
      <c r="H17" s="4">
        <v>400</v>
      </c>
      <c r="I17" s="42">
        <f ca="1">ABS(H17-Sheet3!$C$14)</f>
        <v>372.22114754098357</v>
      </c>
      <c r="J17" s="21">
        <v>1</v>
      </c>
      <c r="K17" s="43"/>
    </row>
    <row r="18" spans="1:11" ht="14.25" customHeight="1" x14ac:dyDescent="0.2">
      <c r="A18" s="20">
        <v>3</v>
      </c>
      <c r="B18" s="4">
        <v>727.90000000007456</v>
      </c>
      <c r="C18" s="4">
        <v>44279303707608.836</v>
      </c>
      <c r="D18" s="4">
        <v>1.4519183685728238E+16</v>
      </c>
      <c r="E18" s="4">
        <v>1.7711721483043534E+16</v>
      </c>
      <c r="F18" s="4">
        <v>3279</v>
      </c>
      <c r="G18" s="4">
        <v>0.1</v>
      </c>
      <c r="H18" s="4">
        <v>400</v>
      </c>
      <c r="I18" s="42">
        <f ca="1">ABS(H18-Sheet3!$C$14)</f>
        <v>372.22114754098357</v>
      </c>
      <c r="J18" s="21">
        <v>0.1</v>
      </c>
      <c r="K18" s="43"/>
    </row>
    <row r="19" spans="1:11" ht="14.25" customHeight="1" x14ac:dyDescent="0.2">
      <c r="A19" s="20">
        <v>4</v>
      </c>
      <c r="B19" s="4">
        <v>727.8699999997018</v>
      </c>
      <c r="C19" s="4">
        <v>44283355359424.602</v>
      </c>
      <c r="D19" s="4">
        <v>1.4519183721681338E+16</v>
      </c>
      <c r="E19" s="4">
        <v>1.771334214376984E+16</v>
      </c>
      <c r="F19" s="4">
        <v>32787</v>
      </c>
      <c r="G19" s="4">
        <v>0.01</v>
      </c>
      <c r="H19" s="4">
        <v>400</v>
      </c>
      <c r="I19" s="42">
        <f ca="1">ABS(H19-Sheet3!$C$14)</f>
        <v>372.22114754098357</v>
      </c>
      <c r="J19" s="21">
        <v>0.01</v>
      </c>
      <c r="K19" s="43"/>
    </row>
    <row r="20" spans="1:11" ht="14.25" customHeight="1" x14ac:dyDescent="0.2">
      <c r="A20" s="20">
        <v>5</v>
      </c>
      <c r="B20" s="4">
        <v>727.8699999997018</v>
      </c>
      <c r="C20" s="4">
        <v>44283355359424.602</v>
      </c>
      <c r="D20" s="4">
        <v>1.4519183721681338E+16</v>
      </c>
      <c r="E20" s="4">
        <v>1.771334214376984E+16</v>
      </c>
      <c r="F20" s="4">
        <v>32787</v>
      </c>
      <c r="G20" s="4">
        <v>1E-3</v>
      </c>
      <c r="H20" s="4">
        <v>400</v>
      </c>
      <c r="I20" s="42">
        <f ca="1">ABS(H20-Sheet3!$C$14)</f>
        <v>372.22114754098357</v>
      </c>
      <c r="J20" s="21">
        <v>1E-3</v>
      </c>
      <c r="K20" s="43"/>
    </row>
    <row r="21" spans="1:11" ht="14.25" customHeight="1" x14ac:dyDescent="0.2">
      <c r="A21" s="20">
        <v>6</v>
      </c>
      <c r="B21" s="4"/>
      <c r="C21" s="4"/>
      <c r="D21" s="4"/>
      <c r="E21" s="4"/>
      <c r="F21" s="4"/>
      <c r="G21" s="4">
        <v>1E-4</v>
      </c>
      <c r="H21" s="4">
        <v>400</v>
      </c>
      <c r="I21" s="42">
        <f ca="1">ABS(H21-Sheet3!$C$14)</f>
        <v>372.22114754098357</v>
      </c>
      <c r="J21" s="21">
        <v>1E-4</v>
      </c>
      <c r="K21" s="43"/>
    </row>
    <row r="22" spans="1:11" ht="14.25" customHeight="1" x14ac:dyDescent="0.2">
      <c r="A22" s="20">
        <v>7</v>
      </c>
      <c r="B22" s="4"/>
      <c r="C22" s="4"/>
      <c r="D22" s="4"/>
      <c r="E22" s="4"/>
      <c r="F22" s="4"/>
      <c r="G22" s="4">
        <v>1.0000000000000001E-5</v>
      </c>
      <c r="H22" s="4">
        <v>400</v>
      </c>
      <c r="I22" s="42">
        <f ca="1">ABS(H22-Sheet3!$C$14)</f>
        <v>372.22114754098357</v>
      </c>
      <c r="J22" s="21">
        <v>1.0000000000000001E-5</v>
      </c>
      <c r="K22" s="43"/>
    </row>
    <row r="23" spans="1:11" ht="14.25" customHeight="1" x14ac:dyDescent="0.2">
      <c r="A23" s="20">
        <v>8</v>
      </c>
      <c r="B23" s="4"/>
      <c r="C23" s="4"/>
      <c r="D23" s="4"/>
      <c r="E23" s="4"/>
      <c r="F23" s="4"/>
      <c r="G23" s="4">
        <v>9.9999999999999995E-7</v>
      </c>
      <c r="H23" s="4">
        <v>400</v>
      </c>
      <c r="I23" s="42">
        <f ca="1">ABS(H23-Sheet3!$C$14)</f>
        <v>372.22114754098357</v>
      </c>
      <c r="J23" s="21">
        <v>9.9999999999999995E-7</v>
      </c>
      <c r="K23" s="43"/>
    </row>
    <row r="24" spans="1:11" ht="14.25" customHeight="1" thickBot="1" x14ac:dyDescent="0.25">
      <c r="A24" s="9">
        <v>9</v>
      </c>
      <c r="B24" s="45"/>
      <c r="C24" s="45"/>
      <c r="D24" s="45"/>
      <c r="E24" s="45"/>
      <c r="F24" s="45"/>
      <c r="G24" s="45">
        <v>9.9999999999999995E-8</v>
      </c>
      <c r="H24" s="45">
        <v>400</v>
      </c>
      <c r="I24" s="46">
        <f ca="1">ABS(H24-Sheet3!$C$14)</f>
        <v>372.22114754098357</v>
      </c>
      <c r="J24" s="10">
        <v>9.9999999999999995E-8</v>
      </c>
      <c r="K24" s="43"/>
    </row>
    <row r="25" spans="1:11" ht="14.25" customHeight="1" x14ac:dyDescent="0.2">
      <c r="A25" s="17">
        <v>1</v>
      </c>
      <c r="B25" s="18">
        <v>730</v>
      </c>
      <c r="C25" s="18">
        <v>43997018847463.594</v>
      </c>
      <c r="D25" s="18">
        <v>1.4519016219662986E+16</v>
      </c>
      <c r="E25" s="18">
        <v>1.7598807538985438E+16</v>
      </c>
      <c r="F25" s="18">
        <v>32</v>
      </c>
      <c r="G25" s="18">
        <v>10</v>
      </c>
      <c r="H25" s="18">
        <v>500</v>
      </c>
      <c r="I25" s="34">
        <f ca="1">ABS(H25-Sheet3!$C$14)</f>
        <v>472.22114754098357</v>
      </c>
      <c r="J25" s="19">
        <v>10</v>
      </c>
      <c r="K25" s="43"/>
    </row>
    <row r="26" spans="1:11" ht="14.25" customHeight="1" x14ac:dyDescent="0.2">
      <c r="A26" s="20">
        <v>2</v>
      </c>
      <c r="B26" s="4">
        <v>728</v>
      </c>
      <c r="C26" s="4">
        <v>44265802084317.602</v>
      </c>
      <c r="D26" s="4">
        <v>1.4519183083656174E+16</v>
      </c>
      <c r="E26" s="4">
        <v>1.770632083372704E+16</v>
      </c>
      <c r="F26" s="4">
        <v>327</v>
      </c>
      <c r="G26" s="4">
        <v>1</v>
      </c>
      <c r="H26" s="4">
        <v>500</v>
      </c>
      <c r="I26" s="42">
        <f ca="1">ABS(H26-Sheet3!$C$14)</f>
        <v>472.22114754098357</v>
      </c>
      <c r="J26" s="21">
        <v>1</v>
      </c>
      <c r="K26" s="43"/>
    </row>
    <row r="27" spans="1:11" ht="14.25" customHeight="1" x14ac:dyDescent="0.2">
      <c r="A27" s="20">
        <v>3</v>
      </c>
      <c r="B27" s="4">
        <v>727.90000000007456</v>
      </c>
      <c r="C27" s="4">
        <v>44279303707608.836</v>
      </c>
      <c r="D27" s="4">
        <v>1.4519183685728238E+16</v>
      </c>
      <c r="E27" s="4">
        <v>1.7711721483043534E+16</v>
      </c>
      <c r="F27" s="4">
        <v>3279</v>
      </c>
      <c r="G27" s="4">
        <v>0.1</v>
      </c>
      <c r="H27" s="4">
        <v>500</v>
      </c>
      <c r="I27" s="42">
        <f ca="1">ABS(H27-Sheet3!$C$14)</f>
        <v>472.22114754098357</v>
      </c>
      <c r="J27" s="21">
        <v>0.1</v>
      </c>
      <c r="K27" s="43"/>
    </row>
    <row r="28" spans="1:11" ht="14.25" customHeight="1" x14ac:dyDescent="0.2">
      <c r="A28" s="20">
        <v>4</v>
      </c>
      <c r="B28" s="4">
        <v>727.8699999997018</v>
      </c>
      <c r="C28" s="4">
        <v>44283355359424.602</v>
      </c>
      <c r="D28" s="4">
        <v>1.4519183721681338E+16</v>
      </c>
      <c r="E28" s="4">
        <v>1.771334214376984E+16</v>
      </c>
      <c r="F28" s="4">
        <v>32787</v>
      </c>
      <c r="G28" s="4">
        <v>0.01</v>
      </c>
      <c r="H28" s="4">
        <v>500</v>
      </c>
      <c r="I28" s="42">
        <f ca="1">ABS(H28-Sheet3!$C$14)</f>
        <v>472.22114754098357</v>
      </c>
      <c r="J28" s="21">
        <v>0.01</v>
      </c>
      <c r="K28" s="43"/>
    </row>
    <row r="29" spans="1:11" ht="14.25" customHeight="1" x14ac:dyDescent="0.2">
      <c r="A29" s="20">
        <v>5</v>
      </c>
      <c r="B29" s="4">
        <v>727.8699999997018</v>
      </c>
      <c r="C29" s="4">
        <v>44283355359424.602</v>
      </c>
      <c r="D29" s="4">
        <v>1.4519183721681338E+16</v>
      </c>
      <c r="E29" s="4">
        <v>1.771334214376984E+16</v>
      </c>
      <c r="F29" s="4">
        <v>32787</v>
      </c>
      <c r="G29" s="4">
        <v>1E-3</v>
      </c>
      <c r="H29" s="4">
        <v>500</v>
      </c>
      <c r="I29" s="42">
        <f ca="1">ABS(H29-Sheet3!$C$14)</f>
        <v>472.22114754098357</v>
      </c>
      <c r="J29" s="21">
        <v>1E-3</v>
      </c>
      <c r="K29" s="43"/>
    </row>
    <row r="30" spans="1:11" ht="14.25" customHeight="1" x14ac:dyDescent="0.2">
      <c r="A30" s="20">
        <v>6</v>
      </c>
      <c r="B30" s="4"/>
      <c r="C30" s="4"/>
      <c r="D30" s="4"/>
      <c r="E30" s="4"/>
      <c r="F30" s="4"/>
      <c r="G30" s="4">
        <v>1E-4</v>
      </c>
      <c r="H30" s="4">
        <v>500</v>
      </c>
      <c r="I30" s="42">
        <f ca="1">ABS(H30-Sheet3!$C$14)</f>
        <v>472.22114754098357</v>
      </c>
      <c r="J30" s="21">
        <v>1E-4</v>
      </c>
      <c r="K30" s="43"/>
    </row>
    <row r="31" spans="1:11" ht="14.25" customHeight="1" x14ac:dyDescent="0.2">
      <c r="A31" s="20">
        <v>7</v>
      </c>
      <c r="B31" s="4"/>
      <c r="C31" s="4"/>
      <c r="D31" s="4"/>
      <c r="E31" s="4"/>
      <c r="F31" s="4"/>
      <c r="G31" s="4">
        <v>1.0000000000000001E-5</v>
      </c>
      <c r="H31" s="4">
        <v>500</v>
      </c>
      <c r="I31" s="42">
        <f ca="1">ABS(H31-Sheet3!$C$14)</f>
        <v>472.22114754098357</v>
      </c>
      <c r="J31" s="21">
        <v>1.0000000000000001E-5</v>
      </c>
      <c r="K31" s="43"/>
    </row>
    <row r="32" spans="1:11" ht="14.25" customHeight="1" x14ac:dyDescent="0.2">
      <c r="A32" s="20">
        <v>8</v>
      </c>
      <c r="B32" s="4"/>
      <c r="C32" s="4"/>
      <c r="D32" s="4"/>
      <c r="E32" s="4"/>
      <c r="F32" s="4"/>
      <c r="G32" s="4">
        <v>9.9999999999999995E-7</v>
      </c>
      <c r="H32" s="4">
        <v>500</v>
      </c>
      <c r="I32" s="42">
        <f ca="1">ABS(H32-Sheet3!$C$14)</f>
        <v>472.22114754098357</v>
      </c>
      <c r="J32" s="21">
        <v>9.9999999999999995E-7</v>
      </c>
      <c r="K32" s="43"/>
    </row>
    <row r="33" spans="1:11" ht="13.5" thickBot="1" x14ac:dyDescent="0.25">
      <c r="A33" s="9">
        <v>9</v>
      </c>
      <c r="B33" s="45"/>
      <c r="C33" s="45"/>
      <c r="D33" s="45"/>
      <c r="E33" s="45"/>
      <c r="F33" s="45"/>
      <c r="G33" s="45">
        <v>9.9999999999999995E-8</v>
      </c>
      <c r="H33" s="45">
        <v>500</v>
      </c>
      <c r="I33" s="46">
        <f ca="1">ABS(H33-Sheet3!$C$14)</f>
        <v>472.22114754098357</v>
      </c>
      <c r="J33" s="10">
        <v>9.9999999999999995E-8</v>
      </c>
      <c r="K33" s="43"/>
    </row>
    <row r="34" spans="1:11" x14ac:dyDescent="0.2">
      <c r="A34" s="17">
        <v>1</v>
      </c>
      <c r="B34" s="18">
        <v>730</v>
      </c>
      <c r="C34" s="18">
        <v>43997018847463.594</v>
      </c>
      <c r="D34" s="18">
        <v>1.4519016219662986E+16</v>
      </c>
      <c r="E34" s="18">
        <v>1.7598807538985438E+16</v>
      </c>
      <c r="F34" s="18">
        <v>32</v>
      </c>
      <c r="G34" s="18">
        <v>10</v>
      </c>
      <c r="H34" s="18">
        <v>600</v>
      </c>
      <c r="I34" s="34">
        <f ca="1">ABS(H34-Sheet3!$C$14)</f>
        <v>572.22114754098357</v>
      </c>
      <c r="J34" s="19">
        <v>10</v>
      </c>
      <c r="K34" s="43"/>
    </row>
    <row r="35" spans="1:11" x14ac:dyDescent="0.2">
      <c r="A35" s="20">
        <v>2</v>
      </c>
      <c r="B35" s="4">
        <v>728</v>
      </c>
      <c r="C35" s="4">
        <v>44265802084317.602</v>
      </c>
      <c r="D35" s="4">
        <v>1.4519183083656174E+16</v>
      </c>
      <c r="E35" s="4">
        <v>1.770632083372704E+16</v>
      </c>
      <c r="F35" s="4">
        <v>327</v>
      </c>
      <c r="G35" s="4">
        <v>1</v>
      </c>
      <c r="H35" s="4">
        <v>600</v>
      </c>
      <c r="I35" s="42">
        <f ca="1">ABS(H35-Sheet3!$C$14)</f>
        <v>572.22114754098357</v>
      </c>
      <c r="J35" s="21">
        <v>1</v>
      </c>
      <c r="K35" s="43"/>
    </row>
    <row r="36" spans="1:11" x14ac:dyDescent="0.2">
      <c r="A36" s="20">
        <v>3</v>
      </c>
      <c r="B36" s="4">
        <v>727.90000000007456</v>
      </c>
      <c r="C36" s="4">
        <v>44279303707608.836</v>
      </c>
      <c r="D36" s="4">
        <v>1.4519183685728238E+16</v>
      </c>
      <c r="E36" s="4">
        <v>1.7711721483043534E+16</v>
      </c>
      <c r="F36" s="4">
        <v>3279</v>
      </c>
      <c r="G36" s="4">
        <v>0.1</v>
      </c>
      <c r="H36" s="4">
        <v>600</v>
      </c>
      <c r="I36" s="42">
        <f ca="1">ABS(H36-Sheet3!$C$14)</f>
        <v>572.22114754098357</v>
      </c>
      <c r="J36" s="21">
        <v>0.1</v>
      </c>
      <c r="K36" s="43"/>
    </row>
    <row r="37" spans="1:11" x14ac:dyDescent="0.2">
      <c r="A37" s="20">
        <v>4</v>
      </c>
      <c r="B37" s="4">
        <v>727.8699999997018</v>
      </c>
      <c r="C37" s="4">
        <v>44283355359424.602</v>
      </c>
      <c r="D37" s="4">
        <v>1.4519183721681338E+16</v>
      </c>
      <c r="E37" s="4">
        <v>1.771334214376984E+16</v>
      </c>
      <c r="F37" s="4">
        <v>32787</v>
      </c>
      <c r="G37" s="4">
        <v>0.01</v>
      </c>
      <c r="H37" s="4">
        <v>600</v>
      </c>
      <c r="I37" s="42">
        <f ca="1">ABS(H37-Sheet3!$C$14)</f>
        <v>572.22114754098357</v>
      </c>
      <c r="J37" s="21">
        <v>0.01</v>
      </c>
      <c r="K37" s="43"/>
    </row>
    <row r="38" spans="1:11" x14ac:dyDescent="0.2">
      <c r="A38" s="20">
        <v>5</v>
      </c>
      <c r="B38" s="4">
        <v>727.8699999997018</v>
      </c>
      <c r="C38" s="4">
        <v>44283355359424.602</v>
      </c>
      <c r="D38" s="4">
        <v>1.4519183721681338E+16</v>
      </c>
      <c r="E38" s="4">
        <v>1.771334214376984E+16</v>
      </c>
      <c r="F38" s="4">
        <v>32787</v>
      </c>
      <c r="G38" s="4">
        <v>1E-3</v>
      </c>
      <c r="H38" s="4">
        <v>600</v>
      </c>
      <c r="I38" s="42">
        <f ca="1">ABS(H38-Sheet3!$C$14)</f>
        <v>572.22114754098357</v>
      </c>
      <c r="J38" s="21">
        <v>1E-3</v>
      </c>
      <c r="K38" s="43"/>
    </row>
    <row r="39" spans="1:11" x14ac:dyDescent="0.2">
      <c r="A39" s="20">
        <v>6</v>
      </c>
      <c r="B39" s="4"/>
      <c r="C39" s="4"/>
      <c r="D39" s="4"/>
      <c r="E39" s="4"/>
      <c r="F39" s="4"/>
      <c r="G39" s="4">
        <v>1E-4</v>
      </c>
      <c r="H39" s="4">
        <v>600</v>
      </c>
      <c r="I39" s="42">
        <f ca="1">ABS(H39-Sheet3!$C$14)</f>
        <v>572.22114754098357</v>
      </c>
      <c r="J39" s="21">
        <v>1E-4</v>
      </c>
      <c r="K39" s="43"/>
    </row>
    <row r="40" spans="1:11" x14ac:dyDescent="0.2">
      <c r="A40" s="20">
        <v>7</v>
      </c>
      <c r="B40" s="4"/>
      <c r="C40" s="4"/>
      <c r="D40" s="4"/>
      <c r="E40" s="4"/>
      <c r="F40" s="4"/>
      <c r="G40" s="4">
        <v>1.0000000000000001E-5</v>
      </c>
      <c r="H40" s="4">
        <v>600</v>
      </c>
      <c r="I40" s="42">
        <f ca="1">ABS(H40-Sheet3!$C$14)</f>
        <v>572.22114754098357</v>
      </c>
      <c r="J40" s="21">
        <v>1.0000000000000001E-5</v>
      </c>
      <c r="K40" s="43"/>
    </row>
    <row r="41" spans="1:11" x14ac:dyDescent="0.2">
      <c r="A41" s="20">
        <v>8</v>
      </c>
      <c r="B41" s="4"/>
      <c r="C41" s="4"/>
      <c r="D41" s="4"/>
      <c r="E41" s="4"/>
      <c r="F41" s="4"/>
      <c r="G41" s="4">
        <v>9.9999999999999995E-7</v>
      </c>
      <c r="H41" s="4">
        <v>600</v>
      </c>
      <c r="I41" s="42">
        <f ca="1">ABS(H41-Sheet3!$C$14)</f>
        <v>572.22114754098357</v>
      </c>
      <c r="J41" s="21">
        <v>9.9999999999999995E-7</v>
      </c>
      <c r="K41" s="43"/>
    </row>
    <row r="42" spans="1:11" ht="13.5" thickBot="1" x14ac:dyDescent="0.25">
      <c r="A42" s="22">
        <v>9</v>
      </c>
      <c r="B42" s="23"/>
      <c r="C42" s="23"/>
      <c r="D42" s="23"/>
      <c r="E42" s="23"/>
      <c r="F42" s="23"/>
      <c r="G42" s="23">
        <v>9.9999999999999995E-8</v>
      </c>
      <c r="H42" s="23">
        <v>600</v>
      </c>
      <c r="I42" s="44">
        <f ca="1">ABS(H42-Sheet3!$C$14)</f>
        <v>572.22114754098357</v>
      </c>
      <c r="J42" s="24">
        <v>9.9999999999999995E-8</v>
      </c>
      <c r="K42" s="43"/>
    </row>
    <row r="43" spans="1:11" x14ac:dyDescent="0.2">
      <c r="A43" s="35">
        <v>1</v>
      </c>
      <c r="B43" s="18">
        <v>730</v>
      </c>
      <c r="C43" s="18">
        <v>43997018847463.594</v>
      </c>
      <c r="D43" s="18">
        <v>1.4519016219662986E+16</v>
      </c>
      <c r="E43" s="18">
        <v>1.7598807538985438E+16</v>
      </c>
      <c r="F43" s="18">
        <v>32</v>
      </c>
      <c r="G43" s="18">
        <v>10</v>
      </c>
      <c r="H43" s="16">
        <v>700</v>
      </c>
      <c r="I43" s="34">
        <f ca="1">ABS(H43-Sheet3!$C$14)</f>
        <v>672.22114754098357</v>
      </c>
      <c r="J43" s="37">
        <v>10</v>
      </c>
      <c r="K43" s="43"/>
    </row>
    <row r="44" spans="1:11" x14ac:dyDescent="0.2">
      <c r="A44" s="20">
        <v>2</v>
      </c>
      <c r="B44" s="4">
        <v>728</v>
      </c>
      <c r="C44" s="4">
        <v>44265802084317.602</v>
      </c>
      <c r="D44" s="4">
        <v>1.4519183083656174E+16</v>
      </c>
      <c r="E44" s="4">
        <v>1.770632083372704E+16</v>
      </c>
      <c r="F44" s="4">
        <v>327</v>
      </c>
      <c r="G44" s="4">
        <v>1</v>
      </c>
      <c r="H44" s="4">
        <v>700</v>
      </c>
      <c r="I44" s="42">
        <f ca="1">ABS(H44-Sheet3!$C$14)</f>
        <v>672.22114754098357</v>
      </c>
      <c r="J44" s="21">
        <v>1</v>
      </c>
      <c r="K44" s="43"/>
    </row>
    <row r="45" spans="1:11" x14ac:dyDescent="0.2">
      <c r="A45" s="20">
        <v>3</v>
      </c>
      <c r="B45" s="4">
        <v>727.90000000007456</v>
      </c>
      <c r="C45" s="4">
        <v>44279303707608.836</v>
      </c>
      <c r="D45" s="4">
        <v>1.4519183685728238E+16</v>
      </c>
      <c r="E45" s="4">
        <v>1.7711721483043534E+16</v>
      </c>
      <c r="F45" s="4">
        <v>3279</v>
      </c>
      <c r="G45" s="4">
        <v>0.1</v>
      </c>
      <c r="H45" s="4">
        <v>700</v>
      </c>
      <c r="I45" s="42">
        <f ca="1">ABS(H45-Sheet3!$C$14)</f>
        <v>672.22114754098357</v>
      </c>
      <c r="J45" s="21">
        <v>0.1</v>
      </c>
      <c r="K45" s="43"/>
    </row>
    <row r="46" spans="1:11" x14ac:dyDescent="0.2">
      <c r="A46" s="20">
        <v>4</v>
      </c>
      <c r="B46" s="4">
        <v>727.8699999997018</v>
      </c>
      <c r="C46" s="4">
        <v>44283355359424.602</v>
      </c>
      <c r="D46" s="4">
        <v>1.4519183721681338E+16</v>
      </c>
      <c r="E46" s="4">
        <v>1.771334214376984E+16</v>
      </c>
      <c r="F46" s="4">
        <v>32787</v>
      </c>
      <c r="G46" s="4">
        <v>0.01</v>
      </c>
      <c r="H46" s="4">
        <v>700</v>
      </c>
      <c r="I46" s="42">
        <f ca="1">ABS(H46-Sheet3!$C$14)</f>
        <v>672.22114754098357</v>
      </c>
      <c r="J46" s="21">
        <v>0.01</v>
      </c>
      <c r="K46" s="43"/>
    </row>
    <row r="47" spans="1:11" x14ac:dyDescent="0.2">
      <c r="A47" s="20">
        <v>5</v>
      </c>
      <c r="B47" s="4">
        <v>727.8699999997018</v>
      </c>
      <c r="C47" s="4">
        <v>44283355359424.602</v>
      </c>
      <c r="D47" s="4">
        <v>1.4519183721681338E+16</v>
      </c>
      <c r="E47" s="4">
        <v>1.771334214376984E+16</v>
      </c>
      <c r="F47" s="4">
        <v>32787</v>
      </c>
      <c r="G47" s="4">
        <v>1E-3</v>
      </c>
      <c r="H47" s="4">
        <v>700</v>
      </c>
      <c r="I47" s="42">
        <f ca="1">ABS(H47-Sheet3!$C$14)</f>
        <v>672.22114754098357</v>
      </c>
      <c r="J47" s="21">
        <v>1E-3</v>
      </c>
      <c r="K47" s="43"/>
    </row>
    <row r="48" spans="1:11" x14ac:dyDescent="0.2">
      <c r="A48" s="20">
        <v>6</v>
      </c>
      <c r="B48" s="4"/>
      <c r="C48" s="4"/>
      <c r="D48" s="4"/>
      <c r="E48" s="4"/>
      <c r="F48" s="4"/>
      <c r="G48" s="4">
        <v>1E-4</v>
      </c>
      <c r="H48" s="4">
        <v>700</v>
      </c>
      <c r="I48" s="42">
        <f ca="1">ABS(H48-Sheet3!$C$14)</f>
        <v>672.22114754098357</v>
      </c>
      <c r="J48" s="21">
        <v>1E-4</v>
      </c>
      <c r="K48" s="43"/>
    </row>
    <row r="49" spans="1:11" x14ac:dyDescent="0.2">
      <c r="A49" s="20">
        <v>7</v>
      </c>
      <c r="B49" s="4"/>
      <c r="C49" s="4"/>
      <c r="D49" s="4"/>
      <c r="E49" s="4"/>
      <c r="F49" s="4"/>
      <c r="G49" s="4">
        <v>1.0000000000000001E-5</v>
      </c>
      <c r="H49" s="4">
        <v>700</v>
      </c>
      <c r="I49" s="42">
        <f ca="1">ABS(H49-Sheet3!$C$14)</f>
        <v>672.22114754098357</v>
      </c>
      <c r="J49" s="21">
        <v>1.0000000000000001E-5</v>
      </c>
      <c r="K49" s="43"/>
    </row>
    <row r="50" spans="1:11" x14ac:dyDescent="0.2">
      <c r="A50" s="20" t="s">
        <v>66</v>
      </c>
      <c r="B50" s="4"/>
      <c r="C50" s="4"/>
      <c r="D50" s="4"/>
      <c r="E50" s="4"/>
      <c r="F50" s="4"/>
      <c r="G50" s="4">
        <v>9.9999999999999995E-7</v>
      </c>
      <c r="H50" s="4">
        <v>700</v>
      </c>
      <c r="I50" s="42">
        <f ca="1">ABS(H50-Sheet3!$C$14)</f>
        <v>672.22114754098357</v>
      </c>
      <c r="J50" s="21">
        <v>9.9999999999999995E-7</v>
      </c>
      <c r="K50" s="43"/>
    </row>
    <row r="51" spans="1:11" ht="13.5" thickBot="1" x14ac:dyDescent="0.25">
      <c r="A51" s="22">
        <v>9</v>
      </c>
      <c r="B51" s="23"/>
      <c r="C51" s="23"/>
      <c r="D51" s="23"/>
      <c r="E51" s="23"/>
      <c r="F51" s="23"/>
      <c r="G51" s="23">
        <v>9.9999999999999995E-8</v>
      </c>
      <c r="H51" s="23">
        <v>700</v>
      </c>
      <c r="I51" s="44">
        <f ca="1">ABS(H51-Sheet3!$C$14)</f>
        <v>672.22114754098357</v>
      </c>
      <c r="J51" s="24">
        <v>9.9999999999999995E-8</v>
      </c>
      <c r="K51" s="43"/>
    </row>
    <row r="52" spans="1:11" x14ac:dyDescent="0.2">
      <c r="A52" s="35">
        <v>1</v>
      </c>
      <c r="B52" s="18">
        <v>730</v>
      </c>
      <c r="C52" s="18">
        <v>43997018847463.594</v>
      </c>
      <c r="D52" s="18">
        <v>1.4519016219662986E+16</v>
      </c>
      <c r="E52" s="18">
        <v>1.7598807538985438E+16</v>
      </c>
      <c r="F52" s="18">
        <v>32</v>
      </c>
      <c r="G52" s="18">
        <v>10</v>
      </c>
      <c r="H52" s="16">
        <v>750</v>
      </c>
      <c r="I52" s="34">
        <f ca="1">ABS(H52-Sheet3!$C$14)</f>
        <v>722.22114754098357</v>
      </c>
      <c r="J52" s="37">
        <v>10</v>
      </c>
      <c r="K52" s="43"/>
    </row>
    <row r="53" spans="1:11" x14ac:dyDescent="0.2">
      <c r="A53" s="20">
        <v>2</v>
      </c>
      <c r="B53" s="4">
        <v>728</v>
      </c>
      <c r="C53" s="4">
        <v>44265802084317.602</v>
      </c>
      <c r="D53" s="4">
        <v>1.4519183083656174E+16</v>
      </c>
      <c r="E53" s="4">
        <v>1.770632083372704E+16</v>
      </c>
      <c r="F53" s="4">
        <v>327</v>
      </c>
      <c r="G53" s="4">
        <v>1</v>
      </c>
      <c r="H53" s="4">
        <v>750</v>
      </c>
      <c r="I53" s="42">
        <f ca="1">ABS(H53-Sheet3!$C$14)</f>
        <v>722.22114754098357</v>
      </c>
      <c r="J53" s="21">
        <v>1</v>
      </c>
      <c r="K53" s="43"/>
    </row>
    <row r="54" spans="1:11" x14ac:dyDescent="0.2">
      <c r="A54" s="20">
        <v>3</v>
      </c>
      <c r="B54" s="4">
        <v>727.90000000007456</v>
      </c>
      <c r="C54" s="4">
        <v>44279303707608.836</v>
      </c>
      <c r="D54" s="4">
        <v>1.4519183685728238E+16</v>
      </c>
      <c r="E54" s="4">
        <v>1.7711721483043534E+16</v>
      </c>
      <c r="F54" s="4">
        <v>3279</v>
      </c>
      <c r="G54" s="4">
        <v>0.1</v>
      </c>
      <c r="H54" s="4">
        <v>750</v>
      </c>
      <c r="I54" s="42">
        <f ca="1">ABS(H54-Sheet3!$C$14)</f>
        <v>722.22114754098357</v>
      </c>
      <c r="J54" s="21">
        <v>0.1</v>
      </c>
      <c r="K54" s="43"/>
    </row>
    <row r="55" spans="1:11" x14ac:dyDescent="0.2">
      <c r="A55" s="20">
        <v>4</v>
      </c>
      <c r="B55" s="4">
        <v>727.8699999997018</v>
      </c>
      <c r="C55" s="4">
        <v>44283355359424.602</v>
      </c>
      <c r="D55" s="4">
        <v>1.4519183721681338E+16</v>
      </c>
      <c r="E55" s="4">
        <v>1.771334214376984E+16</v>
      </c>
      <c r="F55" s="4">
        <v>32787</v>
      </c>
      <c r="G55" s="4">
        <v>0.01</v>
      </c>
      <c r="H55" s="4">
        <v>750</v>
      </c>
      <c r="I55" s="42">
        <f ca="1">ABS(H55-Sheet3!$C$14)</f>
        <v>722.22114754098357</v>
      </c>
      <c r="J55" s="21">
        <v>0.01</v>
      </c>
      <c r="K55" s="43"/>
    </row>
    <row r="56" spans="1:11" x14ac:dyDescent="0.2">
      <c r="A56" s="20">
        <v>5</v>
      </c>
      <c r="B56" s="4">
        <v>727.8699999997018</v>
      </c>
      <c r="C56" s="4">
        <v>44283355359424.602</v>
      </c>
      <c r="D56" s="4">
        <v>1.4519183721681338E+16</v>
      </c>
      <c r="E56" s="4">
        <v>1.771334214376984E+16</v>
      </c>
      <c r="F56" s="4">
        <v>32787</v>
      </c>
      <c r="G56" s="4">
        <v>1E-3</v>
      </c>
      <c r="H56" s="4">
        <v>750</v>
      </c>
      <c r="I56" s="42">
        <f ca="1">ABS(H56-Sheet3!$C$14)</f>
        <v>722.22114754098357</v>
      </c>
      <c r="J56" s="21">
        <v>1E-3</v>
      </c>
      <c r="K56" s="43"/>
    </row>
    <row r="57" spans="1:11" x14ac:dyDescent="0.2">
      <c r="A57" s="20">
        <v>6</v>
      </c>
      <c r="B57" s="4"/>
      <c r="C57" s="4"/>
      <c r="D57" s="4"/>
      <c r="E57" s="4"/>
      <c r="F57" s="4"/>
      <c r="G57" s="4">
        <v>1E-4</v>
      </c>
      <c r="H57" s="4">
        <v>750</v>
      </c>
      <c r="I57" s="42">
        <f ca="1">ABS(H57-Sheet3!$C$14)</f>
        <v>722.22114754098357</v>
      </c>
      <c r="J57" s="21">
        <v>1E-4</v>
      </c>
      <c r="K57" s="43"/>
    </row>
    <row r="58" spans="1:11" x14ac:dyDescent="0.2">
      <c r="A58" s="20">
        <v>7</v>
      </c>
      <c r="B58" s="4"/>
      <c r="C58" s="4"/>
      <c r="D58" s="4"/>
      <c r="E58" s="4"/>
      <c r="F58" s="4"/>
      <c r="G58" s="4">
        <v>1.0000000000000001E-5</v>
      </c>
      <c r="H58" s="4">
        <v>750</v>
      </c>
      <c r="I58" s="42">
        <f ca="1">ABS(H58-Sheet3!$C$14)</f>
        <v>722.22114754098357</v>
      </c>
      <c r="J58" s="21">
        <v>1.0000000000000001E-5</v>
      </c>
      <c r="K58" s="43"/>
    </row>
    <row r="59" spans="1:11" x14ac:dyDescent="0.2">
      <c r="A59" s="20">
        <v>8</v>
      </c>
      <c r="B59" s="4"/>
      <c r="C59" s="4"/>
      <c r="D59" s="4"/>
      <c r="E59" s="4"/>
      <c r="F59" s="4"/>
      <c r="G59" s="4">
        <v>9.9999999999999995E-7</v>
      </c>
      <c r="H59" s="4">
        <v>750</v>
      </c>
      <c r="I59" s="42">
        <f ca="1">ABS(H59-Sheet3!$C$14)</f>
        <v>722.22114754098357</v>
      </c>
      <c r="J59" s="21">
        <v>9.9999999999999995E-7</v>
      </c>
      <c r="K59" s="43"/>
    </row>
    <row r="60" spans="1:11" ht="13.5" thickBot="1" x14ac:dyDescent="0.25">
      <c r="A60" s="22">
        <v>9</v>
      </c>
      <c r="B60" s="23"/>
      <c r="C60" s="23"/>
      <c r="D60" s="23"/>
      <c r="E60" s="23"/>
      <c r="F60" s="23"/>
      <c r="G60" s="23">
        <v>9.9999999999999995E-8</v>
      </c>
      <c r="H60" s="23">
        <v>750</v>
      </c>
      <c r="I60" s="44">
        <f ca="1">ABS(H60-Sheet3!$C$14)</f>
        <v>722.22114754098357</v>
      </c>
      <c r="J60" s="24">
        <v>9.9999999999999995E-8</v>
      </c>
      <c r="K60" s="43"/>
    </row>
    <row r="61" spans="1:11" ht="13.5" thickBot="1" x14ac:dyDescent="0.25">
      <c r="H61" s="81">
        <f>Sheet1!I5</f>
        <v>2001.9313466616909</v>
      </c>
    </row>
  </sheetData>
  <phoneticPr fontId="4" type="noConversion"/>
  <conditionalFormatting sqref="A7:E7">
    <cfRule type="expression" dxfId="2" priority="1" stopIfTrue="1">
      <formula>$A$7=0</formula>
    </cfRule>
  </conditionalFormatting>
  <conditionalFormatting sqref="F7:K7">
    <cfRule type="expression" dxfId="1" priority="2" stopIfTrue="1">
      <formula>$A$7=0</formula>
    </cfRule>
    <cfRule type="expression" dxfId="0" priority="3" stopIfTrue="1">
      <formula>$F$7="Search is complete"</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8</xdr:col>
                    <xdr:colOff>0</xdr:colOff>
                    <xdr:row>4</xdr:row>
                    <xdr:rowOff>0</xdr:rowOff>
                  </from>
                  <to>
                    <xdr:col>9</xdr:col>
                    <xdr:colOff>19050</xdr:colOff>
                    <xdr:row>5</xdr:row>
                    <xdr:rowOff>9525</xdr:rowOff>
                  </to>
                </anchor>
              </controlPr>
            </control>
          </mc:Choice>
        </mc:AlternateContent>
        <mc:AlternateContent xmlns:mc="http://schemas.openxmlformats.org/markup-compatibility/2006">
          <mc:Choice Requires="x14">
            <control shapeId="1026" r:id="rId5" name="List Box 2">
              <controlPr defaultSize="0" autoLine="0" autoPict="0">
                <anchor moveWithCells="1">
                  <from>
                    <xdr:col>6</xdr:col>
                    <xdr:colOff>9525</xdr:colOff>
                    <xdr:row>2</xdr:row>
                    <xdr:rowOff>161925</xdr:rowOff>
                  </from>
                  <to>
                    <xdr:col>8</xdr:col>
                    <xdr:colOff>0</xdr:colOff>
                    <xdr:row>4</xdr:row>
                    <xdr:rowOff>200025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05"/>
  <sheetViews>
    <sheetView workbookViewId="0">
      <selection activeCell="E10" sqref="E10"/>
    </sheetView>
  </sheetViews>
  <sheetFormatPr defaultRowHeight="12.75" x14ac:dyDescent="0.2"/>
  <cols>
    <col min="6" max="6" width="12.85546875" customWidth="1"/>
    <col min="7" max="7" width="12.28515625" customWidth="1"/>
    <col min="8" max="8" width="13.7109375" customWidth="1"/>
    <col min="9" max="9" width="14.5703125" customWidth="1"/>
    <col min="10" max="10" width="11.28515625" customWidth="1"/>
  </cols>
  <sheetData>
    <row r="1" spans="1:10" ht="18" x14ac:dyDescent="0.25">
      <c r="A1" t="s">
        <v>44</v>
      </c>
    </row>
    <row r="2" spans="1:10" x14ac:dyDescent="0.2">
      <c r="A2" t="s">
        <v>23</v>
      </c>
    </row>
    <row r="3" spans="1:10" x14ac:dyDescent="0.2">
      <c r="A3" t="s">
        <v>9</v>
      </c>
    </row>
    <row r="6" spans="1:10" ht="15.75" x14ac:dyDescent="0.25">
      <c r="A6" s="48" t="s">
        <v>42</v>
      </c>
    </row>
    <row r="7" spans="1:10" x14ac:dyDescent="0.2">
      <c r="A7" s="61" t="s">
        <v>36</v>
      </c>
    </row>
    <row r="8" spans="1:10" x14ac:dyDescent="0.2">
      <c r="A8" s="61" t="s">
        <v>35</v>
      </c>
    </row>
    <row r="9" spans="1:10" x14ac:dyDescent="0.2">
      <c r="A9" s="61" t="s">
        <v>43</v>
      </c>
    </row>
    <row r="10" spans="1:10" x14ac:dyDescent="0.2">
      <c r="A10" s="49"/>
    </row>
    <row r="11" spans="1:10" ht="13.5" thickBot="1" x14ac:dyDescent="0.25">
      <c r="A11" s="25" t="s">
        <v>39</v>
      </c>
    </row>
    <row r="12" spans="1:10" ht="39" thickBot="1" x14ac:dyDescent="0.25">
      <c r="A12" s="38" t="s">
        <v>37</v>
      </c>
      <c r="B12" s="39" t="s">
        <v>3</v>
      </c>
      <c r="C12" s="39" t="s">
        <v>4</v>
      </c>
      <c r="D12" s="39" t="s">
        <v>5</v>
      </c>
      <c r="E12" s="39" t="s">
        <v>6</v>
      </c>
      <c r="F12" s="40" t="s">
        <v>21</v>
      </c>
      <c r="G12" s="39" t="s">
        <v>13</v>
      </c>
      <c r="H12" s="39" t="s">
        <v>7</v>
      </c>
      <c r="I12" s="39" t="s">
        <v>14</v>
      </c>
      <c r="J12" s="41" t="s">
        <v>12</v>
      </c>
    </row>
    <row r="13" spans="1:10" x14ac:dyDescent="0.2">
      <c r="A13" s="17">
        <v>1</v>
      </c>
      <c r="B13" s="18">
        <v>730</v>
      </c>
      <c r="C13" s="18">
        <v>43997018847463.594</v>
      </c>
      <c r="D13" s="18">
        <v>1.4519016219662986E+16</v>
      </c>
      <c r="E13" s="18">
        <v>1.7598807538985438E+16</v>
      </c>
      <c r="F13" s="18">
        <v>32</v>
      </c>
      <c r="G13" s="18">
        <v>10</v>
      </c>
      <c r="H13" s="18">
        <v>400</v>
      </c>
      <c r="I13" s="34">
        <f ca="1">ABS(H13-Sheet3!$C$14)</f>
        <v>372.22114754098357</v>
      </c>
      <c r="J13" s="19">
        <v>10</v>
      </c>
    </row>
    <row r="14" spans="1:10" x14ac:dyDescent="0.2">
      <c r="A14" s="20">
        <v>2</v>
      </c>
      <c r="B14" s="4">
        <v>728</v>
      </c>
      <c r="C14" s="4">
        <v>44265802084317.602</v>
      </c>
      <c r="D14" s="4">
        <v>1.4519183083656174E+16</v>
      </c>
      <c r="E14" s="4">
        <v>1.770632083372704E+16</v>
      </c>
      <c r="F14" s="4">
        <v>327</v>
      </c>
      <c r="G14" s="4">
        <v>1</v>
      </c>
      <c r="H14" s="4">
        <v>400</v>
      </c>
      <c r="I14" s="42">
        <f ca="1">ABS(H14-Sheet3!$C$14)</f>
        <v>372.22114754098357</v>
      </c>
      <c r="J14" s="21">
        <v>1</v>
      </c>
    </row>
    <row r="15" spans="1:10" x14ac:dyDescent="0.2">
      <c r="A15" s="20">
        <v>3</v>
      </c>
      <c r="B15" s="4">
        <v>727.90000000007456</v>
      </c>
      <c r="C15" s="4">
        <v>44279303707608.836</v>
      </c>
      <c r="D15" s="4">
        <v>1.4519183685728238E+16</v>
      </c>
      <c r="E15" s="4">
        <v>1.7711721483043534E+16</v>
      </c>
      <c r="F15" s="4">
        <v>3279</v>
      </c>
      <c r="G15" s="4">
        <v>0.1</v>
      </c>
      <c r="H15" s="4">
        <v>400</v>
      </c>
      <c r="I15" s="42">
        <f ca="1">ABS(H15-Sheet3!$C$14)</f>
        <v>372.22114754098357</v>
      </c>
      <c r="J15" s="21">
        <v>0.1</v>
      </c>
    </row>
    <row r="16" spans="1:10" x14ac:dyDescent="0.2">
      <c r="A16" s="20">
        <v>4</v>
      </c>
      <c r="B16" s="4">
        <v>727.8699999997018</v>
      </c>
      <c r="C16" s="4">
        <v>44283355359424.602</v>
      </c>
      <c r="D16" s="4">
        <v>1.4519183721681338E+16</v>
      </c>
      <c r="E16" s="4">
        <v>1.771334214376984E+16</v>
      </c>
      <c r="F16" s="4">
        <v>32787</v>
      </c>
      <c r="G16" s="4">
        <v>0.01</v>
      </c>
      <c r="H16" s="4">
        <v>400</v>
      </c>
      <c r="I16" s="42">
        <f ca="1">ABS(H16-Sheet3!$C$14)</f>
        <v>372.22114754098357</v>
      </c>
      <c r="J16" s="21">
        <v>0.01</v>
      </c>
    </row>
    <row r="17" spans="1:10" x14ac:dyDescent="0.2">
      <c r="A17" s="20">
        <v>5</v>
      </c>
      <c r="B17" s="4">
        <v>727.8699999997018</v>
      </c>
      <c r="C17" s="4">
        <v>44283355359424.602</v>
      </c>
      <c r="D17" s="4">
        <v>1.4519183721681338E+16</v>
      </c>
      <c r="E17" s="4">
        <v>1.771334214376984E+16</v>
      </c>
      <c r="F17" s="4">
        <v>32787</v>
      </c>
      <c r="G17" s="4">
        <v>1E-3</v>
      </c>
      <c r="H17" s="4">
        <v>400</v>
      </c>
      <c r="I17" s="42">
        <f ca="1">ABS(H17-Sheet3!$C$14)</f>
        <v>372.22114754098357</v>
      </c>
      <c r="J17" s="21">
        <v>1E-3</v>
      </c>
    </row>
    <row r="18" spans="1:10" x14ac:dyDescent="0.2">
      <c r="A18" s="20">
        <v>6</v>
      </c>
      <c r="B18" s="4"/>
      <c r="C18" s="4"/>
      <c r="D18" s="4"/>
      <c r="E18" s="4"/>
      <c r="F18" s="4"/>
      <c r="G18" s="4">
        <v>1E-4</v>
      </c>
      <c r="H18" s="4">
        <v>400</v>
      </c>
      <c r="I18" s="42">
        <f ca="1">ABS(H18-Sheet3!$C$14)</f>
        <v>372.22114754098357</v>
      </c>
      <c r="J18" s="21">
        <v>1E-4</v>
      </c>
    </row>
    <row r="19" spans="1:10" x14ac:dyDescent="0.2">
      <c r="A19" s="20">
        <v>7</v>
      </c>
      <c r="B19" s="4"/>
      <c r="C19" s="4"/>
      <c r="D19" s="4"/>
      <c r="E19" s="4"/>
      <c r="F19" s="4"/>
      <c r="G19" s="4">
        <v>1.0000000000000001E-5</v>
      </c>
      <c r="H19" s="4">
        <v>400</v>
      </c>
      <c r="I19" s="42">
        <f ca="1">ABS(H19-Sheet3!$C$14)</f>
        <v>372.22114754098357</v>
      </c>
      <c r="J19" s="21">
        <v>1.0000000000000001E-5</v>
      </c>
    </row>
    <row r="20" spans="1:10" x14ac:dyDescent="0.2">
      <c r="A20" s="20">
        <v>8</v>
      </c>
      <c r="B20" s="4"/>
      <c r="C20" s="4"/>
      <c r="D20" s="4"/>
      <c r="E20" s="4"/>
      <c r="F20" s="4"/>
      <c r="G20" s="4">
        <v>9.9999999999999995E-7</v>
      </c>
      <c r="H20" s="4">
        <v>400</v>
      </c>
      <c r="I20" s="42">
        <f ca="1">ABS(H20-Sheet3!$C$14)</f>
        <v>372.22114754098357</v>
      </c>
      <c r="J20" s="21">
        <v>9.9999999999999995E-7</v>
      </c>
    </row>
    <row r="21" spans="1:10" ht="13.5" thickBot="1" x14ac:dyDescent="0.25">
      <c r="A21" s="9">
        <v>9</v>
      </c>
      <c r="B21" s="45"/>
      <c r="C21" s="45"/>
      <c r="D21" s="45"/>
      <c r="E21" s="45"/>
      <c r="F21" s="45"/>
      <c r="G21" s="45">
        <v>9.9999999999999995E-8</v>
      </c>
      <c r="H21" s="45">
        <v>400</v>
      </c>
      <c r="I21" s="46">
        <f ca="1">ABS(H21-Sheet3!$C$14)</f>
        <v>372.22114754098357</v>
      </c>
      <c r="J21" s="10">
        <v>9.9999999999999995E-8</v>
      </c>
    </row>
    <row r="22" spans="1:10" x14ac:dyDescent="0.2">
      <c r="A22" s="17">
        <v>1</v>
      </c>
      <c r="B22" s="18">
        <v>730</v>
      </c>
      <c r="C22" s="18">
        <v>43997018847463.594</v>
      </c>
      <c r="D22" s="18">
        <v>1.4519016219662986E+16</v>
      </c>
      <c r="E22" s="18">
        <v>1.7598807538985438E+16</v>
      </c>
      <c r="F22" s="18">
        <v>22</v>
      </c>
      <c r="G22" s="18">
        <v>10</v>
      </c>
      <c r="H22" s="18">
        <v>500</v>
      </c>
      <c r="I22" s="34">
        <f ca="1">ABS(H22-Sheet3!$C$14)</f>
        <v>472.22114754098357</v>
      </c>
      <c r="J22" s="19">
        <v>10</v>
      </c>
    </row>
    <row r="23" spans="1:10" x14ac:dyDescent="0.2">
      <c r="A23" s="20">
        <v>2</v>
      </c>
      <c r="B23" s="4">
        <v>728</v>
      </c>
      <c r="C23" s="4">
        <v>44265802084317.602</v>
      </c>
      <c r="D23" s="4">
        <v>1.4519183083656174E+16</v>
      </c>
      <c r="E23" s="4">
        <v>1.770632083372704E+16</v>
      </c>
      <c r="F23" s="4">
        <v>227</v>
      </c>
      <c r="G23" s="4">
        <v>1</v>
      </c>
      <c r="H23" s="4">
        <v>500</v>
      </c>
      <c r="I23" s="42">
        <f ca="1">ABS(H23-Sheet3!$C$14)</f>
        <v>472.22114754098357</v>
      </c>
      <c r="J23" s="21">
        <v>1</v>
      </c>
    </row>
    <row r="24" spans="1:10" x14ac:dyDescent="0.2">
      <c r="A24" s="20">
        <v>3</v>
      </c>
      <c r="B24" s="4">
        <v>727.90000000005182</v>
      </c>
      <c r="C24" s="4">
        <v>44279303707611.906</v>
      </c>
      <c r="D24" s="4">
        <v>1.4519183685728238E+16</v>
      </c>
      <c r="E24" s="4">
        <v>1.7711721483044762E+16</v>
      </c>
      <c r="F24" s="4">
        <v>2278</v>
      </c>
      <c r="G24" s="4">
        <v>0.1</v>
      </c>
      <c r="H24" s="4">
        <v>500</v>
      </c>
      <c r="I24" s="42">
        <f ca="1">ABS(H24-Sheet3!$C$14)</f>
        <v>472.22114754098357</v>
      </c>
      <c r="J24" s="21">
        <v>0.1</v>
      </c>
    </row>
    <row r="25" spans="1:10" x14ac:dyDescent="0.2">
      <c r="A25" s="20">
        <v>4</v>
      </c>
      <c r="B25" s="4">
        <v>727.8699999998837</v>
      </c>
      <c r="C25" s="4">
        <v>44283355359400.063</v>
      </c>
      <c r="D25" s="4">
        <v>1.4519183721681348E+16</v>
      </c>
      <c r="E25" s="4">
        <v>1.7713342143760024E+16</v>
      </c>
      <c r="F25" s="4">
        <v>12786</v>
      </c>
      <c r="G25" s="4">
        <v>0.01</v>
      </c>
      <c r="H25" s="4">
        <v>500</v>
      </c>
      <c r="I25" s="42">
        <f ca="1">ABS(H25-Sheet3!$C$14)</f>
        <v>472.22114754098357</v>
      </c>
      <c r="J25" s="21">
        <v>0.01</v>
      </c>
    </row>
    <row r="26" spans="1:10" x14ac:dyDescent="0.2">
      <c r="A26" s="20">
        <v>5</v>
      </c>
      <c r="B26" s="4">
        <v>727.8699999998837</v>
      </c>
      <c r="C26" s="4">
        <v>44283355359400.063</v>
      </c>
      <c r="D26" s="4">
        <v>1.4519183721681348E+16</v>
      </c>
      <c r="E26" s="4">
        <v>1.7713342143760024E+16</v>
      </c>
      <c r="F26" s="4">
        <v>12786</v>
      </c>
      <c r="G26" s="4">
        <v>1E-3</v>
      </c>
      <c r="H26" s="4">
        <v>500</v>
      </c>
      <c r="I26" s="42">
        <f ca="1">ABS(H26-Sheet3!$C$14)</f>
        <v>472.22114754098357</v>
      </c>
      <c r="J26" s="21">
        <v>1E-3</v>
      </c>
    </row>
    <row r="27" spans="1:10" x14ac:dyDescent="0.2">
      <c r="A27" s="20">
        <v>6</v>
      </c>
      <c r="B27" s="4"/>
      <c r="C27" s="4"/>
      <c r="D27" s="4"/>
      <c r="E27" s="4"/>
      <c r="F27" s="4"/>
      <c r="G27" s="4">
        <v>1E-4</v>
      </c>
      <c r="H27" s="4">
        <v>500</v>
      </c>
      <c r="I27" s="42">
        <f ca="1">ABS(H27-Sheet3!$C$14)</f>
        <v>472.22114754098357</v>
      </c>
      <c r="J27" s="21">
        <v>1E-4</v>
      </c>
    </row>
    <row r="28" spans="1:10" x14ac:dyDescent="0.2">
      <c r="A28" s="20">
        <v>7</v>
      </c>
      <c r="B28" s="4"/>
      <c r="C28" s="4"/>
      <c r="D28" s="4"/>
      <c r="E28" s="4"/>
      <c r="F28" s="4"/>
      <c r="G28" s="4">
        <v>1.0000000000000001E-5</v>
      </c>
      <c r="H28" s="4">
        <v>500</v>
      </c>
      <c r="I28" s="42">
        <f ca="1">ABS(H28-Sheet3!$C$14)</f>
        <v>472.22114754098357</v>
      </c>
      <c r="J28" s="21">
        <v>1.0000000000000001E-5</v>
      </c>
    </row>
    <row r="29" spans="1:10" x14ac:dyDescent="0.2">
      <c r="A29" s="20">
        <v>8</v>
      </c>
      <c r="B29" s="4"/>
      <c r="C29" s="4"/>
      <c r="D29" s="4"/>
      <c r="E29" s="4"/>
      <c r="F29" s="4"/>
      <c r="G29" s="4">
        <v>9.9999999999999995E-7</v>
      </c>
      <c r="H29" s="4">
        <v>500</v>
      </c>
      <c r="I29" s="42">
        <f ca="1">ABS(H29-Sheet3!$C$14)</f>
        <v>472.22114754098357</v>
      </c>
      <c r="J29" s="21">
        <v>9.9999999999999995E-7</v>
      </c>
    </row>
    <row r="30" spans="1:10" ht="13.5" thickBot="1" x14ac:dyDescent="0.25">
      <c r="A30" s="9">
        <v>9</v>
      </c>
      <c r="B30" s="45"/>
      <c r="C30" s="45"/>
      <c r="D30" s="45"/>
      <c r="E30" s="45"/>
      <c r="F30" s="45"/>
      <c r="G30" s="45">
        <v>9.9999999999999995E-8</v>
      </c>
      <c r="H30" s="45">
        <v>500</v>
      </c>
      <c r="I30" s="46">
        <f ca="1">ABS(H30-Sheet3!$C$14)</f>
        <v>472.22114754098357</v>
      </c>
      <c r="J30" s="10">
        <v>9.9999999999999995E-8</v>
      </c>
    </row>
    <row r="31" spans="1:10" x14ac:dyDescent="0.2">
      <c r="A31" s="17">
        <v>1</v>
      </c>
      <c r="B31" s="18">
        <v>730</v>
      </c>
      <c r="C31" s="18">
        <v>43997018847463.594</v>
      </c>
      <c r="D31" s="18">
        <v>1.4519016219662986E+16</v>
      </c>
      <c r="E31" s="18">
        <v>1.7598807538985438E+16</v>
      </c>
      <c r="F31" s="18">
        <v>12</v>
      </c>
      <c r="G31" s="18">
        <v>10</v>
      </c>
      <c r="H31" s="18">
        <v>600</v>
      </c>
      <c r="I31" s="34">
        <f ca="1">ABS(H31-Sheet3!$C$14)</f>
        <v>572.22114754098357</v>
      </c>
      <c r="J31" s="19">
        <v>10</v>
      </c>
    </row>
    <row r="32" spans="1:10" x14ac:dyDescent="0.2">
      <c r="A32" s="20">
        <v>2</v>
      </c>
      <c r="B32" s="4">
        <v>728</v>
      </c>
      <c r="C32" s="4">
        <v>44265802084317.602</v>
      </c>
      <c r="D32" s="4">
        <v>1.4519183083656174E+16</v>
      </c>
      <c r="E32" s="4">
        <v>1.770632083372704E+16</v>
      </c>
      <c r="F32" s="4">
        <v>127</v>
      </c>
      <c r="G32" s="4">
        <v>1</v>
      </c>
      <c r="H32" s="4">
        <v>600</v>
      </c>
      <c r="I32" s="42">
        <f ca="1">ABS(H32-Sheet3!$C$14)</f>
        <v>572.22114754098357</v>
      </c>
      <c r="J32" s="21">
        <v>1</v>
      </c>
    </row>
    <row r="33" spans="1:10" x14ac:dyDescent="0.2">
      <c r="A33" s="20">
        <v>3</v>
      </c>
      <c r="B33" s="4">
        <v>727.90000000002908</v>
      </c>
      <c r="C33" s="4">
        <v>44279303707614.969</v>
      </c>
      <c r="D33" s="4">
        <v>1.4519183685728236E+16</v>
      </c>
      <c r="E33" s="4">
        <v>1.7711721483045988E+16</v>
      </c>
      <c r="F33" s="4">
        <v>1278</v>
      </c>
      <c r="G33" s="4">
        <v>0.1</v>
      </c>
      <c r="H33" s="4">
        <v>600</v>
      </c>
      <c r="I33" s="42">
        <f ca="1">ABS(H33-Sheet3!$C$14)</f>
        <v>572.22114754098357</v>
      </c>
      <c r="J33" s="21">
        <v>0.1</v>
      </c>
    </row>
    <row r="34" spans="1:10" x14ac:dyDescent="0.2">
      <c r="A34" s="20">
        <v>4</v>
      </c>
      <c r="B34" s="4">
        <v>727.90000000002908</v>
      </c>
      <c r="C34" s="4">
        <v>44279303707614.969</v>
      </c>
      <c r="D34" s="4">
        <v>1.4519183685728236E+16</v>
      </c>
      <c r="E34" s="4">
        <v>1.7711721483045988E+16</v>
      </c>
      <c r="F34" s="4">
        <v>1278</v>
      </c>
      <c r="G34" s="4">
        <v>0.01</v>
      </c>
      <c r="H34" s="4">
        <v>600</v>
      </c>
      <c r="I34" s="42">
        <f ca="1">ABS(H34-Sheet3!$C$14)</f>
        <v>572.22114754098357</v>
      </c>
      <c r="J34" s="21">
        <v>0.01</v>
      </c>
    </row>
    <row r="35" spans="1:10" x14ac:dyDescent="0.2">
      <c r="A35" s="20">
        <v>5</v>
      </c>
      <c r="B35" s="4">
        <v>727.90000000002908</v>
      </c>
      <c r="C35" s="4">
        <v>44279303707614.969</v>
      </c>
      <c r="D35" s="4">
        <v>1.4519183685728236E+16</v>
      </c>
      <c r="E35" s="4">
        <v>1.7711721483045988E+16</v>
      </c>
      <c r="F35" s="4">
        <v>1278</v>
      </c>
      <c r="G35" s="4">
        <v>1E-3</v>
      </c>
      <c r="H35" s="4">
        <v>600</v>
      </c>
      <c r="I35" s="42">
        <f ca="1">ABS(H35-Sheet3!$C$14)</f>
        <v>572.22114754098357</v>
      </c>
      <c r="J35" s="21">
        <v>1E-3</v>
      </c>
    </row>
    <row r="36" spans="1:10" x14ac:dyDescent="0.2">
      <c r="A36" s="20">
        <v>6</v>
      </c>
      <c r="B36" s="4"/>
      <c r="C36" s="4"/>
      <c r="D36" s="4"/>
      <c r="E36" s="4"/>
      <c r="F36" s="4"/>
      <c r="G36" s="4">
        <v>1E-4</v>
      </c>
      <c r="H36" s="4">
        <v>600</v>
      </c>
      <c r="I36" s="42">
        <f ca="1">ABS(H36-Sheet3!$C$14)</f>
        <v>572.22114754098357</v>
      </c>
      <c r="J36" s="21">
        <v>1E-4</v>
      </c>
    </row>
    <row r="37" spans="1:10" x14ac:dyDescent="0.2">
      <c r="A37" s="20">
        <v>7</v>
      </c>
      <c r="B37" s="4"/>
      <c r="C37" s="4"/>
      <c r="D37" s="4"/>
      <c r="E37" s="4"/>
      <c r="F37" s="4"/>
      <c r="G37" s="4">
        <v>1.0000000000000001E-5</v>
      </c>
      <c r="H37" s="4">
        <v>600</v>
      </c>
      <c r="I37" s="42">
        <f ca="1">ABS(H37-Sheet3!$C$14)</f>
        <v>572.22114754098357</v>
      </c>
      <c r="J37" s="21">
        <v>1.0000000000000001E-5</v>
      </c>
    </row>
    <row r="38" spans="1:10" x14ac:dyDescent="0.2">
      <c r="A38" s="20">
        <v>8</v>
      </c>
      <c r="B38" s="4"/>
      <c r="C38" s="4"/>
      <c r="D38" s="4"/>
      <c r="E38" s="4"/>
      <c r="F38" s="4"/>
      <c r="G38" s="4">
        <v>9.9999999999999995E-7</v>
      </c>
      <c r="H38" s="4">
        <v>600</v>
      </c>
      <c r="I38" s="42">
        <f ca="1">ABS(H38-Sheet3!$C$14)</f>
        <v>572.22114754098357</v>
      </c>
      <c r="J38" s="21">
        <v>9.9999999999999995E-7</v>
      </c>
    </row>
    <row r="39" spans="1:10" ht="13.5" thickBot="1" x14ac:dyDescent="0.25">
      <c r="A39" s="9">
        <v>9</v>
      </c>
      <c r="B39" s="45"/>
      <c r="C39" s="45"/>
      <c r="D39" s="45"/>
      <c r="E39" s="45"/>
      <c r="F39" s="45"/>
      <c r="G39" s="45">
        <v>9.9999999999999995E-8</v>
      </c>
      <c r="H39" s="45">
        <v>600</v>
      </c>
      <c r="I39" s="46">
        <f ca="1">ABS(H39-Sheet3!$C$14)</f>
        <v>572.22114754098357</v>
      </c>
      <c r="J39" s="10">
        <v>9.9999999999999995E-8</v>
      </c>
    </row>
    <row r="40" spans="1:10" x14ac:dyDescent="0.2">
      <c r="A40" s="17">
        <v>1</v>
      </c>
      <c r="B40" s="18">
        <v>730</v>
      </c>
      <c r="C40" s="18">
        <v>43997018847463.594</v>
      </c>
      <c r="D40" s="18">
        <v>1.4519016219662986E+16</v>
      </c>
      <c r="E40" s="18">
        <v>1.7598807538985438E+16</v>
      </c>
      <c r="F40" s="18">
        <v>12</v>
      </c>
      <c r="G40" s="18">
        <v>10</v>
      </c>
      <c r="H40" s="18">
        <v>700</v>
      </c>
      <c r="I40" s="34">
        <f ca="1">ABS(H40-Sheet3!$C$14)</f>
        <v>672.22114754098357</v>
      </c>
      <c r="J40" s="19">
        <v>10</v>
      </c>
    </row>
    <row r="41" spans="1:10" x14ac:dyDescent="0.2">
      <c r="A41" s="20">
        <v>2</v>
      </c>
      <c r="B41" s="4">
        <v>728</v>
      </c>
      <c r="C41" s="4">
        <v>44265802084317.602</v>
      </c>
      <c r="D41" s="4">
        <v>1.4519183083656174E+16</v>
      </c>
      <c r="E41" s="4">
        <v>1.770632083372704E+16</v>
      </c>
      <c r="F41" s="4">
        <v>127</v>
      </c>
      <c r="G41" s="4">
        <v>1</v>
      </c>
      <c r="H41" s="4">
        <v>700</v>
      </c>
      <c r="I41" s="42">
        <f ca="1">ABS(H41-Sheet3!$C$14)</f>
        <v>672.22114754098357</v>
      </c>
      <c r="J41" s="21">
        <v>1</v>
      </c>
    </row>
    <row r="42" spans="1:10" x14ac:dyDescent="0.2">
      <c r="A42" s="20">
        <v>3</v>
      </c>
      <c r="B42" s="4">
        <v>727.90000000002908</v>
      </c>
      <c r="C42" s="4">
        <v>44279303707614.969</v>
      </c>
      <c r="D42" s="4">
        <v>1.4519183685728236E+16</v>
      </c>
      <c r="E42" s="4">
        <v>1.7711721483045988E+16</v>
      </c>
      <c r="F42" s="4">
        <v>1278</v>
      </c>
      <c r="G42" s="4">
        <v>0.1</v>
      </c>
      <c r="H42" s="4">
        <v>700</v>
      </c>
      <c r="I42" s="42">
        <f ca="1">ABS(H42-Sheet3!$C$14)</f>
        <v>672.22114754098357</v>
      </c>
      <c r="J42" s="21">
        <v>0.1</v>
      </c>
    </row>
    <row r="43" spans="1:10" x14ac:dyDescent="0.2">
      <c r="A43" s="20">
        <v>4</v>
      </c>
      <c r="B43" s="4">
        <v>727.90000000002908</v>
      </c>
      <c r="C43" s="4">
        <v>44279303707614.969</v>
      </c>
      <c r="D43" s="4">
        <v>1.4519183685728236E+16</v>
      </c>
      <c r="E43" s="4">
        <v>1.7711721483045988E+16</v>
      </c>
      <c r="F43" s="4">
        <v>1278</v>
      </c>
      <c r="G43" s="4">
        <v>0.01</v>
      </c>
      <c r="H43" s="4">
        <v>700</v>
      </c>
      <c r="I43" s="42">
        <f ca="1">ABS(H43-Sheet3!$C$14)</f>
        <v>672.22114754098357</v>
      </c>
      <c r="J43" s="21">
        <v>0.01</v>
      </c>
    </row>
    <row r="44" spans="1:10" x14ac:dyDescent="0.2">
      <c r="A44" s="20">
        <v>5</v>
      </c>
      <c r="B44" s="4">
        <v>727.90000000002908</v>
      </c>
      <c r="C44" s="4">
        <v>44279303707614.969</v>
      </c>
      <c r="D44" s="4">
        <v>1.4519183685728236E+16</v>
      </c>
      <c r="E44" s="4">
        <v>1.7711721483045988E+16</v>
      </c>
      <c r="F44" s="4">
        <v>1278</v>
      </c>
      <c r="G44" s="4">
        <v>1E-3</v>
      </c>
      <c r="H44" s="4">
        <v>700</v>
      </c>
      <c r="I44" s="42">
        <f ca="1">ABS(H44-Sheet3!$C$14)</f>
        <v>672.22114754098357</v>
      </c>
      <c r="J44" s="21">
        <v>1E-3</v>
      </c>
    </row>
    <row r="45" spans="1:10" x14ac:dyDescent="0.2">
      <c r="A45" s="20">
        <v>6</v>
      </c>
      <c r="B45" s="4"/>
      <c r="C45" s="4"/>
      <c r="D45" s="4"/>
      <c r="E45" s="4"/>
      <c r="F45" s="4"/>
      <c r="G45" s="4">
        <v>1E-4</v>
      </c>
      <c r="H45" s="4">
        <v>700</v>
      </c>
      <c r="I45" s="42">
        <f ca="1">ABS(H45-Sheet3!$C$14)</f>
        <v>672.22114754098357</v>
      </c>
      <c r="J45" s="21">
        <v>1E-4</v>
      </c>
    </row>
    <row r="46" spans="1:10" x14ac:dyDescent="0.2">
      <c r="A46" s="20">
        <v>7</v>
      </c>
      <c r="B46" s="4"/>
      <c r="C46" s="4"/>
      <c r="D46" s="4"/>
      <c r="E46" s="4"/>
      <c r="F46" s="4"/>
      <c r="G46" s="4">
        <v>1.0000000000000001E-5</v>
      </c>
      <c r="H46" s="4">
        <v>700</v>
      </c>
      <c r="I46" s="42">
        <f ca="1">ABS(H46-Sheet3!$C$14)</f>
        <v>672.22114754098357</v>
      </c>
      <c r="J46" s="21">
        <v>1.0000000000000001E-5</v>
      </c>
    </row>
    <row r="47" spans="1:10" x14ac:dyDescent="0.2">
      <c r="A47" s="20">
        <v>8</v>
      </c>
      <c r="B47" s="4"/>
      <c r="C47" s="4"/>
      <c r="D47" s="4"/>
      <c r="E47" s="4"/>
      <c r="F47" s="4"/>
      <c r="G47" s="4">
        <v>9.9999999999999995E-7</v>
      </c>
      <c r="H47" s="4">
        <v>700</v>
      </c>
      <c r="I47" s="42">
        <f ca="1">ABS(H47-Sheet3!$C$14)</f>
        <v>672.22114754098357</v>
      </c>
      <c r="J47" s="21">
        <v>9.9999999999999995E-7</v>
      </c>
    </row>
    <row r="48" spans="1:10" ht="13.5" thickBot="1" x14ac:dyDescent="0.25">
      <c r="A48" s="9">
        <v>9</v>
      </c>
      <c r="B48" s="45"/>
      <c r="C48" s="45"/>
      <c r="D48" s="45"/>
      <c r="E48" s="45"/>
      <c r="F48" s="45"/>
      <c r="G48" s="45">
        <v>9.9999999999999995E-8</v>
      </c>
      <c r="H48" s="45">
        <v>700</v>
      </c>
      <c r="I48" s="46">
        <f ca="1">ABS(H48-Sheet3!$C$14)</f>
        <v>672.22114754098357</v>
      </c>
      <c r="J48" s="10">
        <v>9.9999999999999995E-8</v>
      </c>
    </row>
    <row r="49" spans="1:10" x14ac:dyDescent="0.2">
      <c r="A49" s="17">
        <v>1</v>
      </c>
      <c r="B49" s="18">
        <v>730</v>
      </c>
      <c r="C49" s="18">
        <v>43997018847463.594</v>
      </c>
      <c r="D49" s="18">
        <v>1.4519016219662986E+16</v>
      </c>
      <c r="E49" s="18">
        <v>1.7598807538985438E+16</v>
      </c>
      <c r="F49" s="18">
        <v>12</v>
      </c>
      <c r="G49" s="18">
        <v>10</v>
      </c>
      <c r="H49" s="18">
        <v>750</v>
      </c>
      <c r="I49" s="34">
        <f ca="1">ABS(H49-Sheet3!$C$14)</f>
        <v>722.22114754098357</v>
      </c>
      <c r="J49" s="19">
        <v>10</v>
      </c>
    </row>
    <row r="50" spans="1:10" x14ac:dyDescent="0.2">
      <c r="A50" s="20">
        <v>2</v>
      </c>
      <c r="B50" s="4">
        <v>728</v>
      </c>
      <c r="C50" s="4">
        <v>44265802084317.602</v>
      </c>
      <c r="D50" s="4">
        <v>1.4519183083656174E+16</v>
      </c>
      <c r="E50" s="4">
        <v>1.770632083372704E+16</v>
      </c>
      <c r="F50" s="4">
        <v>127</v>
      </c>
      <c r="G50" s="4">
        <v>1</v>
      </c>
      <c r="H50" s="4">
        <v>750</v>
      </c>
      <c r="I50" s="42">
        <f ca="1">ABS(H50-Sheet3!$C$14)</f>
        <v>722.22114754098357</v>
      </c>
      <c r="J50" s="21">
        <v>1</v>
      </c>
    </row>
    <row r="51" spans="1:10" x14ac:dyDescent="0.2">
      <c r="A51" s="20">
        <v>3</v>
      </c>
      <c r="B51" s="4">
        <v>727.90000000002908</v>
      </c>
      <c r="C51" s="4">
        <v>44279303707614.969</v>
      </c>
      <c r="D51" s="4">
        <v>1.4519183685728236E+16</v>
      </c>
      <c r="E51" s="4">
        <v>1.7711721483045988E+16</v>
      </c>
      <c r="F51" s="4">
        <v>1278</v>
      </c>
      <c r="G51" s="4">
        <v>0.1</v>
      </c>
      <c r="H51" s="4">
        <v>750</v>
      </c>
      <c r="I51" s="42">
        <f ca="1">ABS(H51-Sheet3!$C$14)</f>
        <v>722.22114754098357</v>
      </c>
      <c r="J51" s="21">
        <v>0.1</v>
      </c>
    </row>
    <row r="52" spans="1:10" x14ac:dyDescent="0.2">
      <c r="A52" s="20">
        <v>4</v>
      </c>
      <c r="B52" s="4">
        <v>727.90000000002908</v>
      </c>
      <c r="C52" s="4">
        <v>44279303707614.969</v>
      </c>
      <c r="D52" s="4">
        <v>1.4519183685728236E+16</v>
      </c>
      <c r="E52" s="4">
        <v>1.7711721483045988E+16</v>
      </c>
      <c r="F52" s="4">
        <v>1278</v>
      </c>
      <c r="G52" s="4">
        <v>0.01</v>
      </c>
      <c r="H52" s="4">
        <v>750</v>
      </c>
      <c r="I52" s="42">
        <f ca="1">ABS(H52-Sheet3!$C$14)</f>
        <v>722.22114754098357</v>
      </c>
      <c r="J52" s="21">
        <v>0.01</v>
      </c>
    </row>
    <row r="53" spans="1:10" x14ac:dyDescent="0.2">
      <c r="A53" s="20">
        <v>5</v>
      </c>
      <c r="B53" s="4">
        <v>727.90000000002908</v>
      </c>
      <c r="C53" s="4">
        <v>44279303707614.969</v>
      </c>
      <c r="D53" s="4">
        <v>1.4519183685728236E+16</v>
      </c>
      <c r="E53" s="4">
        <v>1.7711721483045988E+16</v>
      </c>
      <c r="F53" s="4">
        <v>1278</v>
      </c>
      <c r="G53" s="4">
        <v>1E-3</v>
      </c>
      <c r="H53" s="4">
        <v>750</v>
      </c>
      <c r="I53" s="42">
        <f ca="1">ABS(H53-Sheet3!$C$14)</f>
        <v>722.22114754098357</v>
      </c>
      <c r="J53" s="21">
        <v>1E-3</v>
      </c>
    </row>
    <row r="54" spans="1:10" x14ac:dyDescent="0.2">
      <c r="A54" s="20">
        <v>6</v>
      </c>
      <c r="B54" s="4"/>
      <c r="C54" s="4"/>
      <c r="D54" s="4"/>
      <c r="E54" s="4"/>
      <c r="F54" s="4"/>
      <c r="G54" s="4">
        <v>1E-4</v>
      </c>
      <c r="H54" s="4">
        <v>750</v>
      </c>
      <c r="I54" s="42">
        <f ca="1">ABS(H54-Sheet3!$C$14)</f>
        <v>722.22114754098357</v>
      </c>
      <c r="J54" s="21">
        <v>1E-4</v>
      </c>
    </row>
    <row r="55" spans="1:10" x14ac:dyDescent="0.2">
      <c r="A55" s="20">
        <v>7</v>
      </c>
      <c r="B55" s="4"/>
      <c r="C55" s="4"/>
      <c r="D55" s="4"/>
      <c r="E55" s="4"/>
      <c r="F55" s="4"/>
      <c r="G55" s="4">
        <v>1.0000000000000001E-5</v>
      </c>
      <c r="H55" s="4">
        <v>750</v>
      </c>
      <c r="I55" s="42">
        <f ca="1">ABS(H55-Sheet3!$C$14)</f>
        <v>722.22114754098357</v>
      </c>
      <c r="J55" s="21">
        <v>1.0000000000000001E-5</v>
      </c>
    </row>
    <row r="56" spans="1:10" x14ac:dyDescent="0.2">
      <c r="A56" s="20">
        <v>8</v>
      </c>
      <c r="B56" s="4"/>
      <c r="C56" s="4"/>
      <c r="D56" s="4"/>
      <c r="E56" s="4"/>
      <c r="F56" s="4"/>
      <c r="G56" s="4">
        <v>9.9999999999999995E-7</v>
      </c>
      <c r="H56" s="4">
        <v>750</v>
      </c>
      <c r="I56" s="42">
        <f ca="1">ABS(H56-Sheet3!$C$14)</f>
        <v>722.22114754098357</v>
      </c>
      <c r="J56" s="21">
        <v>9.9999999999999995E-7</v>
      </c>
    </row>
    <row r="57" spans="1:10" ht="13.5" thickBot="1" x14ac:dyDescent="0.25">
      <c r="A57" s="22">
        <v>9</v>
      </c>
      <c r="B57" s="23"/>
      <c r="C57" s="23"/>
      <c r="D57" s="23"/>
      <c r="E57" s="23"/>
      <c r="F57" s="23"/>
      <c r="G57" s="23">
        <v>9.9999999999999995E-8</v>
      </c>
      <c r="H57" s="23">
        <v>750</v>
      </c>
      <c r="I57" s="44">
        <f ca="1">ABS(H57-Sheet3!$C$14)</f>
        <v>722.22114754098357</v>
      </c>
      <c r="J57" s="24">
        <v>9.9999999999999995E-8</v>
      </c>
    </row>
    <row r="59" spans="1:10" ht="13.5" thickBot="1" x14ac:dyDescent="0.25">
      <c r="A59" s="25" t="s">
        <v>38</v>
      </c>
    </row>
    <row r="60" spans="1:10" ht="39" thickBot="1" x14ac:dyDescent="0.25">
      <c r="A60" s="38" t="s">
        <v>37</v>
      </c>
      <c r="B60" s="39" t="s">
        <v>3</v>
      </c>
      <c r="C60" s="39" t="s">
        <v>4</v>
      </c>
      <c r="D60" s="39" t="s">
        <v>5</v>
      </c>
      <c r="E60" s="39" t="s">
        <v>6</v>
      </c>
      <c r="F60" s="40" t="s">
        <v>21</v>
      </c>
      <c r="G60" s="39" t="s">
        <v>13</v>
      </c>
      <c r="H60" s="39" t="s">
        <v>7</v>
      </c>
      <c r="I60" s="39" t="s">
        <v>14</v>
      </c>
      <c r="J60" s="41" t="s">
        <v>12</v>
      </c>
    </row>
    <row r="61" spans="1:10" x14ac:dyDescent="0.2">
      <c r="A61" s="17">
        <v>1</v>
      </c>
      <c r="B61" s="18">
        <v>730</v>
      </c>
      <c r="C61" s="18">
        <v>43997018847463.594</v>
      </c>
      <c r="D61" s="18">
        <v>1.4519016219662986E+16</v>
      </c>
      <c r="E61" s="18">
        <v>1.7598807538985438E+16</v>
      </c>
      <c r="F61" s="18">
        <v>32</v>
      </c>
      <c r="G61" s="18">
        <v>10</v>
      </c>
      <c r="H61" s="18">
        <v>400</v>
      </c>
      <c r="I61" s="34">
        <f ca="1">ABS(H61-Sheet3!$C$14)</f>
        <v>372.22114754098357</v>
      </c>
      <c r="J61" s="18">
        <v>10</v>
      </c>
    </row>
    <row r="62" spans="1:10" x14ac:dyDescent="0.2">
      <c r="A62" s="20">
        <v>2</v>
      </c>
      <c r="B62" s="4">
        <v>728</v>
      </c>
      <c r="C62" s="4">
        <v>44265802084317.602</v>
      </c>
      <c r="D62" s="4">
        <v>1.4519183083656174E+16</v>
      </c>
      <c r="E62" s="4">
        <v>1.770632083372704E+16</v>
      </c>
      <c r="F62" s="4">
        <v>327</v>
      </c>
      <c r="G62" s="4">
        <v>10</v>
      </c>
      <c r="H62" s="4">
        <v>500</v>
      </c>
      <c r="I62" s="42">
        <f ca="1">ABS(H62-Sheet3!$C$14)</f>
        <v>472.22114754098357</v>
      </c>
      <c r="J62" s="4">
        <v>10</v>
      </c>
    </row>
    <row r="63" spans="1:10" x14ac:dyDescent="0.2">
      <c r="A63" s="20">
        <v>3</v>
      </c>
      <c r="B63" s="4">
        <v>727.90000000007456</v>
      </c>
      <c r="C63" s="4">
        <v>44279303707608.836</v>
      </c>
      <c r="D63" s="4">
        <v>1.4519183685728238E+16</v>
      </c>
      <c r="E63" s="4">
        <v>1.7711721483043534E+16</v>
      </c>
      <c r="F63" s="4">
        <v>3279</v>
      </c>
      <c r="G63" s="4">
        <v>10</v>
      </c>
      <c r="H63" s="4">
        <v>600</v>
      </c>
      <c r="I63" s="42">
        <f ca="1">ABS(H63-Sheet3!$C$14)</f>
        <v>572.22114754098357</v>
      </c>
      <c r="J63" s="4">
        <v>10</v>
      </c>
    </row>
    <row r="64" spans="1:10" x14ac:dyDescent="0.2">
      <c r="A64" s="20">
        <v>4</v>
      </c>
      <c r="B64" s="4">
        <v>727.8699999997018</v>
      </c>
      <c r="C64" s="4">
        <v>44283355359424.602</v>
      </c>
      <c r="D64" s="4">
        <v>1.4519183721681338E+16</v>
      </c>
      <c r="E64" s="4">
        <v>1.771334214376984E+16</v>
      </c>
      <c r="F64" s="4">
        <v>32787</v>
      </c>
      <c r="G64" s="4">
        <v>10</v>
      </c>
      <c r="H64" s="4">
        <v>700</v>
      </c>
      <c r="I64" s="42">
        <f ca="1">ABS(H64-Sheet3!$C$14)</f>
        <v>672.22114754098357</v>
      </c>
      <c r="J64" s="4">
        <v>10</v>
      </c>
    </row>
    <row r="65" spans="1:10" x14ac:dyDescent="0.2">
      <c r="A65" s="20">
        <v>5</v>
      </c>
      <c r="B65" s="4">
        <v>727.8699999997018</v>
      </c>
      <c r="C65" s="4">
        <v>44283355359424.602</v>
      </c>
      <c r="D65" s="4">
        <v>1.4519183721681338E+16</v>
      </c>
      <c r="E65" s="4">
        <v>1.771334214376984E+16</v>
      </c>
      <c r="F65" s="4">
        <v>32787</v>
      </c>
      <c r="G65" s="4">
        <v>10</v>
      </c>
      <c r="H65" s="4">
        <v>750</v>
      </c>
      <c r="I65" s="42">
        <f ca="1">ABS(H65-Sheet3!$C$14)</f>
        <v>722.22114754098357</v>
      </c>
      <c r="J65" s="4">
        <v>10</v>
      </c>
    </row>
    <row r="66" spans="1:10" x14ac:dyDescent="0.2">
      <c r="A66" s="20">
        <v>6</v>
      </c>
      <c r="B66" s="4"/>
      <c r="C66" s="4"/>
      <c r="D66" s="4"/>
      <c r="E66" s="4"/>
      <c r="F66" s="4"/>
      <c r="G66" s="4">
        <v>10</v>
      </c>
      <c r="H66" s="4">
        <v>800</v>
      </c>
      <c r="I66" s="42">
        <f ca="1">ABS(H66-Sheet3!$C$14)</f>
        <v>772.22114754098357</v>
      </c>
      <c r="J66" s="4">
        <v>10</v>
      </c>
    </row>
    <row r="67" spans="1:10" x14ac:dyDescent="0.2">
      <c r="A67" s="20">
        <v>7</v>
      </c>
      <c r="B67" s="4"/>
      <c r="C67" s="4"/>
      <c r="D67" s="4"/>
      <c r="E67" s="4"/>
      <c r="F67" s="4"/>
      <c r="G67" s="4">
        <v>10</v>
      </c>
      <c r="H67" s="4">
        <v>850</v>
      </c>
      <c r="I67" s="42">
        <f ca="1">ABS(H67-Sheet3!$C$14)</f>
        <v>822.22114754098357</v>
      </c>
      <c r="J67" s="4">
        <v>10</v>
      </c>
    </row>
    <row r="68" spans="1:10" x14ac:dyDescent="0.2">
      <c r="A68" s="20">
        <v>8</v>
      </c>
      <c r="B68" s="4"/>
      <c r="C68" s="4"/>
      <c r="D68" s="4"/>
      <c r="E68" s="4"/>
      <c r="F68" s="4"/>
      <c r="G68" s="4">
        <v>10</v>
      </c>
      <c r="H68" s="4">
        <v>900</v>
      </c>
      <c r="I68" s="42">
        <f ca="1">ABS(H68-Sheet3!$C$14)</f>
        <v>872.22114754098357</v>
      </c>
      <c r="J68" s="4">
        <v>10</v>
      </c>
    </row>
    <row r="69" spans="1:10" ht="13.5" thickBot="1" x14ac:dyDescent="0.25">
      <c r="A69" s="22">
        <v>9</v>
      </c>
      <c r="B69" s="23"/>
      <c r="C69" s="23"/>
      <c r="D69" s="23"/>
      <c r="E69" s="23"/>
      <c r="F69" s="23"/>
      <c r="G69" s="23">
        <v>10</v>
      </c>
      <c r="H69" s="23">
        <v>950</v>
      </c>
      <c r="I69" s="44">
        <f ca="1">ABS(H69-Sheet3!$C$14)</f>
        <v>922.22114754098357</v>
      </c>
      <c r="J69" s="23">
        <v>10</v>
      </c>
    </row>
    <row r="70" spans="1:10" x14ac:dyDescent="0.2">
      <c r="A70" s="35">
        <v>1</v>
      </c>
      <c r="B70" s="16">
        <v>730</v>
      </c>
      <c r="C70" s="16">
        <v>43997018847463.594</v>
      </c>
      <c r="D70" s="16">
        <v>1.4519016219662986E+16</v>
      </c>
      <c r="E70" s="16">
        <v>1.7598807538985438E+16</v>
      </c>
      <c r="F70" s="16">
        <v>22</v>
      </c>
      <c r="G70" s="16">
        <v>1</v>
      </c>
      <c r="H70" s="18">
        <v>400</v>
      </c>
      <c r="I70" s="36">
        <f ca="1">ABS(H70-Sheet3!$C$14)</f>
        <v>372.22114754098357</v>
      </c>
      <c r="J70" s="16">
        <v>1</v>
      </c>
    </row>
    <row r="71" spans="1:10" x14ac:dyDescent="0.2">
      <c r="A71" s="20">
        <v>2</v>
      </c>
      <c r="B71" s="4">
        <v>728</v>
      </c>
      <c r="C71" s="4">
        <v>44265802084317.602</v>
      </c>
      <c r="D71" s="4">
        <v>1.4519183083656174E+16</v>
      </c>
      <c r="E71" s="4">
        <v>1.770632083372704E+16</v>
      </c>
      <c r="F71" s="4">
        <v>227</v>
      </c>
      <c r="G71" s="4">
        <v>1</v>
      </c>
      <c r="H71" s="4">
        <v>500</v>
      </c>
      <c r="I71" s="42">
        <f ca="1">ABS(H71-Sheet3!$C$14)</f>
        <v>472.22114754098357</v>
      </c>
      <c r="J71" s="4">
        <v>1</v>
      </c>
    </row>
    <row r="72" spans="1:10" x14ac:dyDescent="0.2">
      <c r="A72" s="20">
        <v>3</v>
      </c>
      <c r="B72" s="4">
        <v>727.90000000005182</v>
      </c>
      <c r="C72" s="4">
        <v>44279303707611.906</v>
      </c>
      <c r="D72" s="4">
        <v>1.4519183685728238E+16</v>
      </c>
      <c r="E72" s="4">
        <v>1.7711721483044762E+16</v>
      </c>
      <c r="F72" s="4">
        <v>2278</v>
      </c>
      <c r="G72" s="4">
        <v>1</v>
      </c>
      <c r="H72" s="4">
        <v>600</v>
      </c>
      <c r="I72" s="42">
        <f ca="1">ABS(H72-Sheet3!$C$14)</f>
        <v>572.22114754098357</v>
      </c>
      <c r="J72" s="4">
        <v>1</v>
      </c>
    </row>
    <row r="73" spans="1:10" x14ac:dyDescent="0.2">
      <c r="A73" s="20">
        <v>4</v>
      </c>
      <c r="B73" s="4">
        <v>727.8699999998837</v>
      </c>
      <c r="C73" s="4">
        <v>44283355359400.063</v>
      </c>
      <c r="D73" s="4">
        <v>1.4519183721681348E+16</v>
      </c>
      <c r="E73" s="4">
        <v>1.7713342143760024E+16</v>
      </c>
      <c r="F73" s="4">
        <v>12786</v>
      </c>
      <c r="G73" s="4">
        <v>1</v>
      </c>
      <c r="H73" s="4">
        <v>700</v>
      </c>
      <c r="I73" s="42">
        <f ca="1">ABS(H73-Sheet3!$C$14)</f>
        <v>672.22114754098357</v>
      </c>
      <c r="J73" s="4">
        <v>1</v>
      </c>
    </row>
    <row r="74" spans="1:10" x14ac:dyDescent="0.2">
      <c r="A74" s="20">
        <v>5</v>
      </c>
      <c r="B74" s="4">
        <v>727.8699999998837</v>
      </c>
      <c r="C74" s="4">
        <v>44283355359400.063</v>
      </c>
      <c r="D74" s="4">
        <v>1.4519183721681348E+16</v>
      </c>
      <c r="E74" s="4">
        <v>1.7713342143760024E+16</v>
      </c>
      <c r="F74" s="4">
        <v>12786</v>
      </c>
      <c r="G74" s="4">
        <v>1</v>
      </c>
      <c r="H74" s="4">
        <v>750</v>
      </c>
      <c r="I74" s="42">
        <f ca="1">ABS(H74-Sheet3!$C$14)</f>
        <v>722.22114754098357</v>
      </c>
      <c r="J74" s="4">
        <v>1</v>
      </c>
    </row>
    <row r="75" spans="1:10" x14ac:dyDescent="0.2">
      <c r="A75" s="20">
        <v>6</v>
      </c>
      <c r="B75" s="4"/>
      <c r="C75" s="4"/>
      <c r="D75" s="4"/>
      <c r="E75" s="4"/>
      <c r="F75" s="4"/>
      <c r="G75" s="4">
        <v>1</v>
      </c>
      <c r="H75" s="4">
        <v>800</v>
      </c>
      <c r="I75" s="42">
        <f ca="1">ABS(H75-Sheet3!$C$14)</f>
        <v>772.22114754098357</v>
      </c>
      <c r="J75" s="4">
        <v>1</v>
      </c>
    </row>
    <row r="76" spans="1:10" x14ac:dyDescent="0.2">
      <c r="A76" s="20">
        <v>7</v>
      </c>
      <c r="B76" s="4"/>
      <c r="C76" s="4"/>
      <c r="D76" s="4"/>
      <c r="E76" s="4"/>
      <c r="F76" s="4"/>
      <c r="G76" s="4">
        <v>1</v>
      </c>
      <c r="H76" s="4">
        <v>850</v>
      </c>
      <c r="I76" s="42">
        <f ca="1">ABS(H76-Sheet3!$C$14)</f>
        <v>822.22114754098357</v>
      </c>
      <c r="J76" s="4">
        <v>1</v>
      </c>
    </row>
    <row r="77" spans="1:10" x14ac:dyDescent="0.2">
      <c r="A77" s="20">
        <v>8</v>
      </c>
      <c r="B77" s="4"/>
      <c r="C77" s="4"/>
      <c r="D77" s="4"/>
      <c r="E77" s="4"/>
      <c r="F77" s="4"/>
      <c r="G77" s="4">
        <v>1</v>
      </c>
      <c r="H77" s="4">
        <v>900</v>
      </c>
      <c r="I77" s="42">
        <f ca="1">ABS(H77-Sheet3!$C$14)</f>
        <v>872.22114754098357</v>
      </c>
      <c r="J77" s="4">
        <v>1</v>
      </c>
    </row>
    <row r="78" spans="1:10" ht="13.5" thickBot="1" x14ac:dyDescent="0.25">
      <c r="A78" s="9">
        <v>9</v>
      </c>
      <c r="B78" s="45"/>
      <c r="C78" s="45"/>
      <c r="D78" s="45"/>
      <c r="E78" s="45"/>
      <c r="F78" s="45"/>
      <c r="G78" s="45">
        <v>1</v>
      </c>
      <c r="H78" s="23">
        <v>950</v>
      </c>
      <c r="I78" s="46">
        <f ca="1">ABS(H78-Sheet3!$C$14)</f>
        <v>922.22114754098357</v>
      </c>
      <c r="J78" s="45">
        <v>1</v>
      </c>
    </row>
    <row r="79" spans="1:10" x14ac:dyDescent="0.2">
      <c r="A79" s="17">
        <v>1</v>
      </c>
      <c r="B79" s="18">
        <v>730</v>
      </c>
      <c r="C79" s="18">
        <v>43997018847463.594</v>
      </c>
      <c r="D79" s="18">
        <v>1.4519016219662986E+16</v>
      </c>
      <c r="E79" s="18">
        <v>1.7598807538985438E+16</v>
      </c>
      <c r="F79" s="18">
        <v>12</v>
      </c>
      <c r="G79" s="18">
        <v>0.1</v>
      </c>
      <c r="H79" s="18">
        <v>400</v>
      </c>
      <c r="I79" s="34">
        <f ca="1">ABS(H79-Sheet3!$C$14)</f>
        <v>372.22114754098357</v>
      </c>
      <c r="J79" s="18">
        <v>0.1</v>
      </c>
    </row>
    <row r="80" spans="1:10" x14ac:dyDescent="0.2">
      <c r="A80" s="20">
        <v>2</v>
      </c>
      <c r="B80" s="4">
        <v>728</v>
      </c>
      <c r="C80" s="4">
        <v>44265802084317.602</v>
      </c>
      <c r="D80" s="4">
        <v>1.4519183083656174E+16</v>
      </c>
      <c r="E80" s="4">
        <v>1.770632083372704E+16</v>
      </c>
      <c r="F80" s="4">
        <v>127</v>
      </c>
      <c r="G80" s="4">
        <v>0.1</v>
      </c>
      <c r="H80" s="4">
        <v>500</v>
      </c>
      <c r="I80" s="42">
        <f ca="1">ABS(H80-Sheet3!$C$14)</f>
        <v>472.22114754098357</v>
      </c>
      <c r="J80" s="4">
        <v>0.1</v>
      </c>
    </row>
    <row r="81" spans="1:10" x14ac:dyDescent="0.2">
      <c r="A81" s="20">
        <v>3</v>
      </c>
      <c r="B81" s="4">
        <v>727.90000000002908</v>
      </c>
      <c r="C81" s="4">
        <v>44279303707614.969</v>
      </c>
      <c r="D81" s="4">
        <v>1.4519183685728236E+16</v>
      </c>
      <c r="E81" s="4">
        <v>1.7711721483045988E+16</v>
      </c>
      <c r="F81" s="4">
        <v>1278</v>
      </c>
      <c r="G81" s="4">
        <v>0.1</v>
      </c>
      <c r="H81" s="4">
        <v>600</v>
      </c>
      <c r="I81" s="42">
        <f ca="1">ABS(H81-Sheet3!$C$14)</f>
        <v>572.22114754098357</v>
      </c>
      <c r="J81" s="4">
        <v>0.1</v>
      </c>
    </row>
    <row r="82" spans="1:10" x14ac:dyDescent="0.2">
      <c r="A82" s="20">
        <v>4</v>
      </c>
      <c r="B82" s="4">
        <v>727.90000000002908</v>
      </c>
      <c r="C82" s="4">
        <v>44279303707614.969</v>
      </c>
      <c r="D82" s="4">
        <v>1.4519183685728236E+16</v>
      </c>
      <c r="E82" s="4">
        <v>1.7711721483045988E+16</v>
      </c>
      <c r="F82" s="4">
        <v>1278</v>
      </c>
      <c r="G82" s="4">
        <v>0.1</v>
      </c>
      <c r="H82" s="4">
        <v>700</v>
      </c>
      <c r="I82" s="42">
        <f ca="1">ABS(H82-Sheet3!$C$14)</f>
        <v>672.22114754098357</v>
      </c>
      <c r="J82" s="4">
        <v>0.1</v>
      </c>
    </row>
    <row r="83" spans="1:10" x14ac:dyDescent="0.2">
      <c r="A83" s="20">
        <v>5</v>
      </c>
      <c r="B83" s="4">
        <v>727.90000000002908</v>
      </c>
      <c r="C83" s="4">
        <v>44279303707614.969</v>
      </c>
      <c r="D83" s="4">
        <v>1.4519183685728236E+16</v>
      </c>
      <c r="E83" s="4">
        <v>1.7711721483045988E+16</v>
      </c>
      <c r="F83" s="4">
        <v>1278</v>
      </c>
      <c r="G83" s="4">
        <v>0.1</v>
      </c>
      <c r="H83" s="4">
        <v>750</v>
      </c>
      <c r="I83" s="42">
        <f ca="1">ABS(H83-Sheet3!$C$14)</f>
        <v>722.22114754098357</v>
      </c>
      <c r="J83" s="4">
        <v>0.1</v>
      </c>
    </row>
    <row r="84" spans="1:10" x14ac:dyDescent="0.2">
      <c r="A84" s="20">
        <v>6</v>
      </c>
      <c r="B84" s="4"/>
      <c r="C84" s="4"/>
      <c r="D84" s="4"/>
      <c r="E84" s="4"/>
      <c r="F84" s="4"/>
      <c r="G84" s="4">
        <v>0.1</v>
      </c>
      <c r="H84" s="4">
        <v>800</v>
      </c>
      <c r="I84" s="42">
        <f ca="1">ABS(H84-Sheet3!$C$14)</f>
        <v>772.22114754098357</v>
      </c>
      <c r="J84" s="4">
        <v>0.1</v>
      </c>
    </row>
    <row r="85" spans="1:10" x14ac:dyDescent="0.2">
      <c r="A85" s="20">
        <v>7</v>
      </c>
      <c r="B85" s="4"/>
      <c r="C85" s="4"/>
      <c r="D85" s="4"/>
      <c r="E85" s="4"/>
      <c r="F85" s="4"/>
      <c r="G85" s="4">
        <v>0.1</v>
      </c>
      <c r="H85" s="4">
        <v>850</v>
      </c>
      <c r="I85" s="42">
        <f ca="1">ABS(H85-Sheet3!$C$14)</f>
        <v>822.22114754098357</v>
      </c>
      <c r="J85" s="4">
        <v>0.1</v>
      </c>
    </row>
    <row r="86" spans="1:10" x14ac:dyDescent="0.2">
      <c r="A86" s="20">
        <v>8</v>
      </c>
      <c r="B86" s="4"/>
      <c r="C86" s="4"/>
      <c r="D86" s="4"/>
      <c r="E86" s="4"/>
      <c r="F86" s="4"/>
      <c r="G86" s="4">
        <v>0.1</v>
      </c>
      <c r="H86" s="4">
        <v>900</v>
      </c>
      <c r="I86" s="42">
        <f ca="1">ABS(H86-Sheet3!$C$14)</f>
        <v>872.22114754098357</v>
      </c>
      <c r="J86" s="4">
        <v>0.1</v>
      </c>
    </row>
    <row r="87" spans="1:10" ht="13.5" thickBot="1" x14ac:dyDescent="0.25">
      <c r="A87" s="9">
        <v>9</v>
      </c>
      <c r="B87" s="45"/>
      <c r="C87" s="45"/>
      <c r="D87" s="45"/>
      <c r="E87" s="45"/>
      <c r="F87" s="45"/>
      <c r="G87" s="45">
        <v>0.1</v>
      </c>
      <c r="H87" s="23">
        <v>950</v>
      </c>
      <c r="I87" s="46">
        <f ca="1">ABS(H87-Sheet3!$C$14)</f>
        <v>922.22114754098357</v>
      </c>
      <c r="J87" s="45">
        <v>0.1</v>
      </c>
    </row>
    <row r="88" spans="1:10" x14ac:dyDescent="0.2">
      <c r="A88" s="17">
        <v>1</v>
      </c>
      <c r="B88" s="18">
        <v>730</v>
      </c>
      <c r="C88" s="18">
        <v>43997018847463.594</v>
      </c>
      <c r="D88" s="18">
        <v>1.4519016219662986E+16</v>
      </c>
      <c r="E88" s="18">
        <v>1.7598807538985438E+16</v>
      </c>
      <c r="F88" s="18">
        <v>12</v>
      </c>
      <c r="G88" s="18">
        <v>0.01</v>
      </c>
      <c r="H88" s="18">
        <v>400</v>
      </c>
      <c r="I88" s="34">
        <f ca="1">ABS(H88-Sheet3!$C$14)</f>
        <v>372.22114754098357</v>
      </c>
      <c r="J88" s="18">
        <v>0.01</v>
      </c>
    </row>
    <row r="89" spans="1:10" x14ac:dyDescent="0.2">
      <c r="A89" s="20">
        <v>2</v>
      </c>
      <c r="B89" s="4">
        <v>728</v>
      </c>
      <c r="C89" s="4">
        <v>44265802084317.602</v>
      </c>
      <c r="D89" s="4">
        <v>1.4519183083656174E+16</v>
      </c>
      <c r="E89" s="4">
        <v>1.770632083372704E+16</v>
      </c>
      <c r="F89" s="4">
        <v>127</v>
      </c>
      <c r="G89" s="4">
        <v>0.01</v>
      </c>
      <c r="H89" s="4">
        <v>500</v>
      </c>
      <c r="I89" s="42">
        <f ca="1">ABS(H89-Sheet3!$C$14)</f>
        <v>472.22114754098357</v>
      </c>
      <c r="J89" s="4">
        <v>0.01</v>
      </c>
    </row>
    <row r="90" spans="1:10" x14ac:dyDescent="0.2">
      <c r="A90" s="20">
        <v>3</v>
      </c>
      <c r="B90" s="4">
        <v>727.90000000002908</v>
      </c>
      <c r="C90" s="4">
        <v>44279303707614.969</v>
      </c>
      <c r="D90" s="4">
        <v>1.4519183685728236E+16</v>
      </c>
      <c r="E90" s="4">
        <v>1.7711721483045988E+16</v>
      </c>
      <c r="F90" s="4">
        <v>1278</v>
      </c>
      <c r="G90" s="4">
        <v>0.01</v>
      </c>
      <c r="H90" s="4">
        <v>600</v>
      </c>
      <c r="I90" s="42">
        <f ca="1">ABS(H90-Sheet3!$C$14)</f>
        <v>572.22114754098357</v>
      </c>
      <c r="J90" s="4">
        <v>0.01</v>
      </c>
    </row>
    <row r="91" spans="1:10" x14ac:dyDescent="0.2">
      <c r="A91" s="20">
        <v>4</v>
      </c>
      <c r="B91" s="4">
        <v>727.90000000002908</v>
      </c>
      <c r="C91" s="4">
        <v>44279303707614.969</v>
      </c>
      <c r="D91" s="4">
        <v>1.4519183685728236E+16</v>
      </c>
      <c r="E91" s="4">
        <v>1.7711721483045988E+16</v>
      </c>
      <c r="F91" s="4">
        <v>1278</v>
      </c>
      <c r="G91" s="4">
        <v>0.01</v>
      </c>
      <c r="H91" s="4">
        <v>700</v>
      </c>
      <c r="I91" s="42">
        <f ca="1">ABS(H91-Sheet3!$C$14)</f>
        <v>672.22114754098357</v>
      </c>
      <c r="J91" s="4">
        <v>0.01</v>
      </c>
    </row>
    <row r="92" spans="1:10" x14ac:dyDescent="0.2">
      <c r="A92" s="20">
        <v>5</v>
      </c>
      <c r="B92" s="4">
        <v>727.90000000002908</v>
      </c>
      <c r="C92" s="4">
        <v>44279303707614.969</v>
      </c>
      <c r="D92" s="4">
        <v>1.4519183685728236E+16</v>
      </c>
      <c r="E92" s="4">
        <v>1.7711721483045988E+16</v>
      </c>
      <c r="F92" s="4">
        <v>1278</v>
      </c>
      <c r="G92" s="4">
        <v>0.01</v>
      </c>
      <c r="H92" s="4">
        <v>750</v>
      </c>
      <c r="I92" s="42">
        <f ca="1">ABS(H92-Sheet3!$C$14)</f>
        <v>722.22114754098357</v>
      </c>
      <c r="J92" s="4">
        <v>0.01</v>
      </c>
    </row>
    <row r="93" spans="1:10" x14ac:dyDescent="0.2">
      <c r="A93" s="20">
        <v>6</v>
      </c>
      <c r="B93" s="4"/>
      <c r="C93" s="4"/>
      <c r="D93" s="4"/>
      <c r="E93" s="4"/>
      <c r="F93" s="4"/>
      <c r="G93" s="4">
        <v>0.01</v>
      </c>
      <c r="H93" s="4">
        <v>800</v>
      </c>
      <c r="I93" s="42">
        <f ca="1">ABS(H93-Sheet3!$C$14)</f>
        <v>772.22114754098357</v>
      </c>
      <c r="J93" s="4">
        <v>0.01</v>
      </c>
    </row>
    <row r="94" spans="1:10" x14ac:dyDescent="0.2">
      <c r="A94" s="20">
        <v>7</v>
      </c>
      <c r="B94" s="4"/>
      <c r="C94" s="4"/>
      <c r="D94" s="4"/>
      <c r="E94" s="4"/>
      <c r="F94" s="4"/>
      <c r="G94" s="4">
        <v>0.01</v>
      </c>
      <c r="H94" s="4">
        <v>850</v>
      </c>
      <c r="I94" s="42">
        <f ca="1">ABS(H94-Sheet3!$C$14)</f>
        <v>822.22114754098357</v>
      </c>
      <c r="J94" s="4">
        <v>0.01</v>
      </c>
    </row>
    <row r="95" spans="1:10" x14ac:dyDescent="0.2">
      <c r="A95" s="20">
        <v>8</v>
      </c>
      <c r="B95" s="4"/>
      <c r="C95" s="4"/>
      <c r="D95" s="4"/>
      <c r="E95" s="4"/>
      <c r="F95" s="4"/>
      <c r="G95" s="4">
        <v>0.01</v>
      </c>
      <c r="H95" s="4">
        <v>900</v>
      </c>
      <c r="I95" s="42">
        <f ca="1">ABS(H95-Sheet3!$C$14)</f>
        <v>872.22114754098357</v>
      </c>
      <c r="J95" s="4">
        <v>0.01</v>
      </c>
    </row>
    <row r="96" spans="1:10" ht="13.5" thickBot="1" x14ac:dyDescent="0.25">
      <c r="A96" s="9">
        <v>9</v>
      </c>
      <c r="B96" s="45"/>
      <c r="C96" s="45"/>
      <c r="D96" s="45"/>
      <c r="E96" s="45"/>
      <c r="F96" s="45"/>
      <c r="G96" s="45">
        <v>0.01</v>
      </c>
      <c r="H96" s="23">
        <v>950</v>
      </c>
      <c r="I96" s="46">
        <f ca="1">ABS(H96-Sheet3!$C$14)</f>
        <v>922.22114754098357</v>
      </c>
      <c r="J96" s="45">
        <v>0.01</v>
      </c>
    </row>
    <row r="97" spans="1:10" x14ac:dyDescent="0.2">
      <c r="A97" s="17">
        <v>1</v>
      </c>
      <c r="B97" s="18">
        <v>730</v>
      </c>
      <c r="C97" s="18">
        <v>43997018847463.594</v>
      </c>
      <c r="D97" s="18">
        <v>1.4519016219662986E+16</v>
      </c>
      <c r="E97" s="18">
        <v>1.7598807538985438E+16</v>
      </c>
      <c r="F97" s="18">
        <v>12</v>
      </c>
      <c r="G97" s="18">
        <v>1E-3</v>
      </c>
      <c r="H97" s="18">
        <v>400</v>
      </c>
      <c r="I97" s="34">
        <f ca="1">ABS(H97-Sheet3!$C$14)</f>
        <v>372.22114754098357</v>
      </c>
      <c r="J97" s="18">
        <v>1E-3</v>
      </c>
    </row>
    <row r="98" spans="1:10" x14ac:dyDescent="0.2">
      <c r="A98" s="20">
        <v>2</v>
      </c>
      <c r="B98" s="4">
        <v>728</v>
      </c>
      <c r="C98" s="4">
        <v>44265802084317.602</v>
      </c>
      <c r="D98" s="4">
        <v>1.4519183083656174E+16</v>
      </c>
      <c r="E98" s="4">
        <v>1.770632083372704E+16</v>
      </c>
      <c r="F98" s="4">
        <v>127</v>
      </c>
      <c r="G98" s="4">
        <v>1E-3</v>
      </c>
      <c r="H98" s="4">
        <v>500</v>
      </c>
      <c r="I98" s="42">
        <f ca="1">ABS(H98-Sheet3!$C$14)</f>
        <v>472.22114754098357</v>
      </c>
      <c r="J98" s="4">
        <v>1E-3</v>
      </c>
    </row>
    <row r="99" spans="1:10" x14ac:dyDescent="0.2">
      <c r="A99" s="20">
        <v>3</v>
      </c>
      <c r="B99" s="4">
        <v>727.90000000002908</v>
      </c>
      <c r="C99" s="4">
        <v>44279303707614.969</v>
      </c>
      <c r="D99" s="4">
        <v>1.4519183685728236E+16</v>
      </c>
      <c r="E99" s="4">
        <v>1.7711721483045988E+16</v>
      </c>
      <c r="F99" s="4">
        <v>1278</v>
      </c>
      <c r="G99" s="4">
        <v>1E-3</v>
      </c>
      <c r="H99" s="4">
        <v>600</v>
      </c>
      <c r="I99" s="42">
        <f ca="1">ABS(H99-Sheet3!$C$14)</f>
        <v>572.22114754098357</v>
      </c>
      <c r="J99" s="4">
        <v>1E-3</v>
      </c>
    </row>
    <row r="100" spans="1:10" x14ac:dyDescent="0.2">
      <c r="A100" s="20">
        <v>4</v>
      </c>
      <c r="B100" s="4">
        <v>727.90000000002908</v>
      </c>
      <c r="C100" s="4">
        <v>44279303707614.969</v>
      </c>
      <c r="D100" s="4">
        <v>1.4519183685728236E+16</v>
      </c>
      <c r="E100" s="4">
        <v>1.7711721483045988E+16</v>
      </c>
      <c r="F100" s="4">
        <v>1278</v>
      </c>
      <c r="G100" s="4">
        <v>1E-3</v>
      </c>
      <c r="H100" s="4">
        <v>700</v>
      </c>
      <c r="I100" s="42">
        <f ca="1">ABS(H100-Sheet3!$C$14)</f>
        <v>672.22114754098357</v>
      </c>
      <c r="J100" s="4">
        <v>1E-3</v>
      </c>
    </row>
    <row r="101" spans="1:10" x14ac:dyDescent="0.2">
      <c r="A101" s="20">
        <v>5</v>
      </c>
      <c r="B101" s="4">
        <v>727.90000000002908</v>
      </c>
      <c r="C101" s="4">
        <v>44279303707614.969</v>
      </c>
      <c r="D101" s="4">
        <v>1.4519183685728236E+16</v>
      </c>
      <c r="E101" s="4">
        <v>1.7711721483045988E+16</v>
      </c>
      <c r="F101" s="4">
        <v>1278</v>
      </c>
      <c r="G101" s="4">
        <v>1E-3</v>
      </c>
      <c r="H101" s="4">
        <v>750</v>
      </c>
      <c r="I101" s="42">
        <f ca="1">ABS(H101-Sheet3!$C$14)</f>
        <v>722.22114754098357</v>
      </c>
      <c r="J101" s="4">
        <v>1E-3</v>
      </c>
    </row>
    <row r="102" spans="1:10" x14ac:dyDescent="0.2">
      <c r="A102" s="20">
        <v>6</v>
      </c>
      <c r="B102" s="4"/>
      <c r="C102" s="4"/>
      <c r="D102" s="4"/>
      <c r="E102" s="4"/>
      <c r="F102" s="4"/>
      <c r="G102" s="4">
        <v>1E-3</v>
      </c>
      <c r="H102" s="4">
        <v>800</v>
      </c>
      <c r="I102" s="42">
        <f ca="1">ABS(H102-Sheet3!$C$14)</f>
        <v>772.22114754098357</v>
      </c>
      <c r="J102" s="4">
        <v>1E-3</v>
      </c>
    </row>
    <row r="103" spans="1:10" x14ac:dyDescent="0.2">
      <c r="A103" s="20">
        <v>7</v>
      </c>
      <c r="B103" s="4"/>
      <c r="C103" s="4"/>
      <c r="D103" s="4"/>
      <c r="E103" s="4"/>
      <c r="F103" s="4"/>
      <c r="G103" s="4">
        <v>1E-3</v>
      </c>
      <c r="H103" s="4">
        <v>850</v>
      </c>
      <c r="I103" s="42">
        <f ca="1">ABS(H103-Sheet3!$C$14)</f>
        <v>822.22114754098357</v>
      </c>
      <c r="J103" s="4">
        <v>1E-3</v>
      </c>
    </row>
    <row r="104" spans="1:10" x14ac:dyDescent="0.2">
      <c r="A104" s="20">
        <v>8</v>
      </c>
      <c r="B104" s="4"/>
      <c r="C104" s="4"/>
      <c r="D104" s="4"/>
      <c r="E104" s="4"/>
      <c r="F104" s="4"/>
      <c r="G104" s="4">
        <v>1E-3</v>
      </c>
      <c r="H104" s="4">
        <v>900</v>
      </c>
      <c r="I104" s="42">
        <f ca="1">ABS(H104-Sheet3!$C$14)</f>
        <v>872.22114754098357</v>
      </c>
      <c r="J104" s="4">
        <v>1E-3</v>
      </c>
    </row>
    <row r="105" spans="1:10" ht="13.5" thickBot="1" x14ac:dyDescent="0.25">
      <c r="A105" s="22">
        <v>9</v>
      </c>
      <c r="B105" s="23"/>
      <c r="C105" s="23"/>
      <c r="D105" s="23"/>
      <c r="E105" s="23"/>
      <c r="F105" s="23"/>
      <c r="G105" s="23">
        <v>1E-3</v>
      </c>
      <c r="H105" s="23">
        <v>950</v>
      </c>
      <c r="I105" s="44">
        <f ca="1">ABS(H105-Sheet3!$C$14)</f>
        <v>922.22114754098357</v>
      </c>
      <c r="J105" s="23">
        <v>1E-3</v>
      </c>
    </row>
  </sheetData>
  <phoneticPr fontId="4" type="noConversion"/>
  <pageMargins left="0.75" right="0.75" top="1" bottom="1" header="0.5" footer="0.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Manager>Joseph Then</Manager>
  <Company>ktu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Laboratory works #_3: Investigate the Even search method to solution of Problem #1</dc:title>
  <dc:subject>Methods of Optimization</dc:subject>
  <dc:creator>tenig</dc:creator>
  <dc:description>2.04.2003 Laboratory works #_3: Investigate the Even search method to solution of Problem #1; Sheets 4 and sheet 5 was changed!!!</dc:description>
  <cp:lastModifiedBy>Nursultan Abakirov</cp:lastModifiedBy>
  <cp:lastPrinted>2012-12-11T08:10:26Z</cp:lastPrinted>
  <dcterms:created xsi:type="dcterms:W3CDTF">2002-01-23T09:30:58Z</dcterms:created>
  <dcterms:modified xsi:type="dcterms:W3CDTF">2018-10-04T22:37:36Z</dcterms:modified>
  <cp:category>FIT-1-01</cp:category>
</cp:coreProperties>
</file>