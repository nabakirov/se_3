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ac\Home\Documents\kstu\dev\mo\lab_5\"/>
    </mc:Choice>
  </mc:AlternateContent>
  <bookViews>
    <workbookView xWindow="0" yWindow="0" windowWidth="20490" windowHeight="9090" activeTab="3"/>
  </bookViews>
  <sheets>
    <sheet name="sheet1" sheetId="1" r:id="rId1"/>
    <sheet name="sheet2" sheetId="2" r:id="rId2"/>
    <sheet name="sheet3" sheetId="3" r:id="rId3"/>
    <sheet name="sheet4" sheetId="4" r:id="rId4"/>
    <sheet name="sheet5" sheetId="5" r:id="rId5"/>
  </sheets>
  <calcPr calcId="152511" iterate="1"/>
</workbook>
</file>

<file path=xl/calcChain.xml><?xml version="1.0" encoding="utf-8"?>
<calcChain xmlns="http://schemas.openxmlformats.org/spreadsheetml/2006/main">
  <c r="F5" i="3" l="1"/>
  <c r="J24" i="5" l="1"/>
  <c r="I93" i="5" l="1"/>
  <c r="K67" i="1"/>
  <c r="J67" i="1" s="1"/>
  <c r="I67" i="1"/>
  <c r="K66" i="1"/>
  <c r="J66" i="1" s="1"/>
  <c r="I66" i="1"/>
  <c r="K65" i="1"/>
  <c r="J65" i="1"/>
  <c r="I65" i="1"/>
  <c r="K64" i="1"/>
  <c r="J64" i="1"/>
  <c r="I64" i="1"/>
  <c r="K63" i="1"/>
  <c r="J63" i="1"/>
  <c r="I63" i="1"/>
  <c r="K62" i="1"/>
  <c r="J62" i="1" s="1"/>
  <c r="I62" i="1"/>
  <c r="K61" i="1"/>
  <c r="J61" i="1"/>
  <c r="I61" i="1"/>
  <c r="K60" i="1"/>
  <c r="J60" i="1"/>
  <c r="I60" i="1"/>
  <c r="K59" i="1"/>
  <c r="J59" i="1"/>
  <c r="I59" i="1"/>
  <c r="K58" i="1"/>
  <c r="J58" i="1" s="1"/>
  <c r="I58" i="1"/>
  <c r="K57" i="1"/>
  <c r="J57" i="1"/>
  <c r="I57" i="1"/>
  <c r="K56" i="1"/>
  <c r="J56" i="1"/>
  <c r="I56" i="1"/>
  <c r="K55" i="1"/>
  <c r="J55" i="1"/>
  <c r="I55" i="1"/>
  <c r="K54" i="1"/>
  <c r="J54" i="1" s="1"/>
  <c r="I54" i="1"/>
  <c r="K53" i="1"/>
  <c r="J53" i="1"/>
  <c r="I53" i="1"/>
  <c r="K52" i="1"/>
  <c r="J52" i="1"/>
  <c r="I52" i="1"/>
  <c r="K51" i="1"/>
  <c r="J51" i="1"/>
  <c r="I51" i="1"/>
  <c r="K50" i="1"/>
  <c r="J50" i="1" s="1"/>
  <c r="I50" i="1"/>
  <c r="K49" i="1"/>
  <c r="J49" i="1"/>
  <c r="I49" i="1"/>
  <c r="K48" i="1"/>
  <c r="J48" i="1"/>
  <c r="I48" i="1"/>
  <c r="K47" i="1"/>
  <c r="J47" i="1"/>
  <c r="I47" i="1"/>
  <c r="K46" i="1"/>
  <c r="J46" i="1" s="1"/>
  <c r="I46" i="1"/>
  <c r="K45" i="1"/>
  <c r="J45" i="1"/>
  <c r="I45" i="1"/>
  <c r="K44" i="1"/>
  <c r="J44" i="1"/>
  <c r="I44" i="1"/>
  <c r="K43" i="1"/>
  <c r="J43" i="1"/>
  <c r="I43" i="1"/>
  <c r="K42" i="1"/>
  <c r="J42" i="1" s="1"/>
  <c r="I42" i="1"/>
  <c r="K41" i="1"/>
  <c r="J41" i="1"/>
  <c r="I41" i="1"/>
  <c r="K40" i="1"/>
  <c r="J40" i="1"/>
  <c r="I40" i="1"/>
  <c r="K39" i="1"/>
  <c r="J39" i="1"/>
  <c r="I39" i="1"/>
  <c r="K38" i="1"/>
  <c r="J38" i="1" s="1"/>
  <c r="I38" i="1"/>
  <c r="K37" i="1"/>
  <c r="J37" i="1"/>
  <c r="I37" i="1"/>
  <c r="K36" i="1"/>
  <c r="J36" i="1"/>
  <c r="I36" i="1"/>
  <c r="K35" i="1"/>
  <c r="J35" i="1"/>
  <c r="I35" i="1"/>
  <c r="K34" i="1"/>
  <c r="J34" i="1" s="1"/>
  <c r="I34" i="1"/>
  <c r="K33" i="1"/>
  <c r="J33" i="1"/>
  <c r="I33" i="1"/>
  <c r="K32" i="1"/>
  <c r="J32" i="1"/>
  <c r="I32" i="1"/>
  <c r="K31" i="1"/>
  <c r="J31" i="1"/>
  <c r="I31" i="1"/>
  <c r="K30" i="1"/>
  <c r="J30" i="1" s="1"/>
  <c r="I30" i="1"/>
  <c r="K29" i="1"/>
  <c r="J29" i="1"/>
  <c r="I29" i="1"/>
  <c r="K28" i="1"/>
  <c r="J28" i="1"/>
  <c r="I28" i="1"/>
  <c r="K27" i="1"/>
  <c r="J27" i="1"/>
  <c r="I27" i="1"/>
  <c r="K26" i="1"/>
  <c r="J26" i="1" s="1"/>
  <c r="I26" i="1"/>
  <c r="K25" i="1"/>
  <c r="J25" i="1"/>
  <c r="I25" i="1"/>
  <c r="K24" i="1"/>
  <c r="J24" i="1"/>
  <c r="I24" i="1"/>
  <c r="K23" i="1"/>
  <c r="J23" i="1"/>
  <c r="I23" i="1"/>
  <c r="K22" i="1"/>
  <c r="J22" i="1" s="1"/>
  <c r="I22" i="1"/>
  <c r="K21" i="1"/>
  <c r="J21" i="1"/>
  <c r="I21" i="1"/>
  <c r="K20" i="1"/>
  <c r="J20" i="1"/>
  <c r="I20" i="1"/>
  <c r="K19" i="1"/>
  <c r="J19" i="1"/>
  <c r="I19" i="1"/>
  <c r="K18" i="1"/>
  <c r="J18" i="1" s="1"/>
  <c r="I18" i="1"/>
  <c r="K17" i="1"/>
  <c r="J17" i="1"/>
  <c r="I17" i="1"/>
  <c r="K16" i="1"/>
  <c r="J16" i="1"/>
  <c r="I16" i="1"/>
  <c r="K15" i="1"/>
  <c r="J15" i="1"/>
  <c r="I15" i="1"/>
  <c r="K14" i="1"/>
  <c r="J14" i="1" s="1"/>
  <c r="I14" i="1"/>
  <c r="K13" i="1"/>
  <c r="J13" i="1"/>
  <c r="I13" i="1"/>
  <c r="K12" i="1"/>
  <c r="J12" i="1"/>
  <c r="I12" i="1"/>
  <c r="K11" i="1"/>
  <c r="J11" i="1"/>
  <c r="I11" i="1"/>
  <c r="K10" i="1"/>
  <c r="J10" i="1" s="1"/>
  <c r="I10" i="1"/>
  <c r="K9" i="1"/>
  <c r="J9" i="1"/>
  <c r="I9" i="1"/>
  <c r="K8" i="1"/>
  <c r="J8" i="1"/>
  <c r="I8" i="1"/>
  <c r="K7" i="1"/>
  <c r="J7" i="1"/>
  <c r="I7" i="1"/>
  <c r="K6" i="1"/>
  <c r="J6" i="1" s="1"/>
  <c r="I6" i="1"/>
  <c r="K5" i="1"/>
  <c r="J5" i="1"/>
  <c r="I5" i="1"/>
  <c r="K4" i="1"/>
  <c r="J4" i="1"/>
  <c r="I4" i="1"/>
  <c r="J93" i="5" l="1"/>
  <c r="I92" i="5"/>
  <c r="J92" i="5" s="1"/>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I91" i="5" l="1"/>
  <c r="I90" i="5" s="1"/>
  <c r="I94" i="5"/>
  <c r="I95" i="5" s="1"/>
  <c r="J95" i="5" s="1"/>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2" i="5"/>
  <c r="J21" i="5"/>
  <c r="J20" i="5"/>
  <c r="J19" i="5"/>
  <c r="J18" i="5"/>
  <c r="J17" i="5"/>
  <c r="J16" i="5"/>
  <c r="J15" i="5"/>
  <c r="J14" i="5"/>
  <c r="J13" i="5"/>
  <c r="J12" i="5"/>
  <c r="G27" i="5"/>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M5" i="4"/>
  <c r="J5" i="4"/>
  <c r="E5" i="3"/>
  <c r="D5" i="2"/>
  <c r="B6" i="2" s="1"/>
  <c r="C5" i="2"/>
  <c r="E5" i="2"/>
  <c r="J91" i="5" l="1"/>
  <c r="L5" i="4"/>
  <c r="J94" i="5"/>
  <c r="J90" i="5"/>
  <c r="I89" i="5"/>
  <c r="I96" i="5"/>
  <c r="J96" i="5" s="1"/>
  <c r="C6" i="2"/>
  <c r="D6" i="2" s="1"/>
  <c r="B7" i="2" s="1"/>
  <c r="E6" i="2"/>
  <c r="I97" i="5" l="1"/>
  <c r="J89" i="5"/>
  <c r="I88" i="5"/>
  <c r="I98" i="5"/>
  <c r="J97" i="5"/>
  <c r="C7" i="2"/>
  <c r="D7" i="2" s="1"/>
  <c r="B8" i="2" s="1"/>
  <c r="E7" i="2"/>
  <c r="I87" i="5" l="1"/>
  <c r="J88" i="5"/>
  <c r="J98" i="5"/>
  <c r="I99" i="5"/>
  <c r="E8" i="2"/>
  <c r="C8" i="2"/>
  <c r="D8" i="2" s="1"/>
  <c r="B9" i="2" s="1"/>
  <c r="J87" i="5" l="1"/>
  <c r="I86" i="5"/>
  <c r="I100" i="5"/>
  <c r="J99" i="5"/>
  <c r="E9" i="2"/>
  <c r="C9" i="2"/>
  <c r="D9" i="2" s="1"/>
  <c r="B10" i="2" s="1"/>
  <c r="I85" i="5" l="1"/>
  <c r="J86" i="5"/>
  <c r="I101" i="5"/>
  <c r="J100" i="5"/>
  <c r="E10" i="2"/>
  <c r="C10" i="2"/>
  <c r="D10" i="2" s="1"/>
  <c r="B11" i="2" s="1"/>
  <c r="I84" i="5" l="1"/>
  <c r="J85" i="5"/>
  <c r="J101" i="5"/>
  <c r="I102" i="5"/>
  <c r="C11" i="2"/>
  <c r="D11" i="2" s="1"/>
  <c r="B12" i="2"/>
  <c r="E11" i="2"/>
  <c r="J84" i="5" l="1"/>
  <c r="I83" i="5"/>
  <c r="I103" i="5"/>
  <c r="J102" i="5"/>
  <c r="E12" i="2"/>
  <c r="C12" i="2"/>
  <c r="D12" i="2" s="1"/>
  <c r="B13" i="2" s="1"/>
  <c r="J83" i="5" l="1"/>
  <c r="I82" i="5"/>
  <c r="J103" i="5"/>
  <c r="I104" i="5"/>
  <c r="E13" i="2"/>
  <c r="C13" i="2"/>
  <c r="D13" i="2" s="1"/>
  <c r="B14" i="2" s="1"/>
  <c r="J82" i="5" l="1"/>
  <c r="I81" i="5"/>
  <c r="I105" i="5"/>
  <c r="J104" i="5"/>
  <c r="C14" i="2"/>
  <c r="D14" i="2" s="1"/>
  <c r="B15" i="2" s="1"/>
  <c r="E14" i="2"/>
  <c r="J81" i="5" l="1"/>
  <c r="I80" i="5"/>
  <c r="I106" i="5"/>
  <c r="J105" i="5"/>
  <c r="C15" i="2"/>
  <c r="D15" i="2" s="1"/>
  <c r="B16" i="2" s="1"/>
  <c r="E15" i="2"/>
  <c r="J80" i="5" l="1"/>
  <c r="I79" i="5"/>
  <c r="J106" i="5"/>
  <c r="I107" i="5"/>
  <c r="E16" i="2"/>
  <c r="C16" i="2"/>
  <c r="D16" i="2" s="1"/>
  <c r="B17" i="2" s="1"/>
  <c r="I78" i="5" l="1"/>
  <c r="J79" i="5"/>
  <c r="I108" i="5"/>
  <c r="J107" i="5"/>
  <c r="E17" i="2"/>
  <c r="C17" i="2"/>
  <c r="D17" i="2" s="1"/>
  <c r="B18" i="2" s="1"/>
  <c r="I77" i="5" l="1"/>
  <c r="J78" i="5"/>
  <c r="I109" i="5"/>
  <c r="J108" i="5"/>
  <c r="E18" i="2"/>
  <c r="C18" i="2"/>
  <c r="D18" i="2" s="1"/>
  <c r="B19" i="2" s="1"/>
  <c r="J77" i="5" l="1"/>
  <c r="I76" i="5"/>
  <c r="L78" i="5" s="1"/>
  <c r="I110" i="5"/>
  <c r="J109" i="5"/>
  <c r="E19" i="2"/>
  <c r="C19" i="2"/>
  <c r="D19" i="2" s="1"/>
  <c r="B20" i="2" s="1"/>
  <c r="I75" i="5" l="1"/>
  <c r="J76" i="5"/>
  <c r="I111" i="5"/>
  <c r="J110" i="5"/>
  <c r="E20" i="2"/>
  <c r="C20" i="2"/>
  <c r="D20" i="2" s="1"/>
  <c r="B21" i="2" s="1"/>
  <c r="J75" i="5" l="1"/>
  <c r="I74" i="5"/>
  <c r="J111" i="5"/>
  <c r="I112" i="5"/>
  <c r="C21" i="2"/>
  <c r="D21" i="2" s="1"/>
  <c r="B22" i="2" s="1"/>
  <c r="E21" i="2"/>
  <c r="J74" i="5" l="1"/>
  <c r="I73" i="5"/>
  <c r="J112" i="5"/>
  <c r="I113" i="5"/>
  <c r="C22" i="2"/>
  <c r="D22" i="2" s="1"/>
  <c r="B23" i="2" s="1"/>
  <c r="E22" i="2"/>
  <c r="J73" i="5" l="1"/>
  <c r="I72" i="5"/>
  <c r="I114" i="5"/>
  <c r="J113" i="5"/>
  <c r="C23" i="2"/>
  <c r="D23" i="2" s="1"/>
  <c r="B24" i="2" s="1"/>
  <c r="E23" i="2"/>
  <c r="I71" i="5" l="1"/>
  <c r="J72" i="5"/>
  <c r="J114" i="5"/>
  <c r="I115" i="5"/>
  <c r="E24" i="2"/>
  <c r="C24" i="2"/>
  <c r="D24" i="2" s="1"/>
  <c r="B25" i="2" s="1"/>
  <c r="J71" i="5" l="1"/>
  <c r="I70" i="5"/>
  <c r="I116" i="5"/>
  <c r="J115" i="5"/>
  <c r="E25" i="2"/>
  <c r="C25" i="2"/>
  <c r="D25" i="2" s="1"/>
  <c r="B26" i="2" s="1"/>
  <c r="I69" i="5" l="1"/>
  <c r="J70" i="5"/>
  <c r="I117" i="5"/>
  <c r="J116" i="5"/>
  <c r="E26" i="2"/>
  <c r="C26" i="2"/>
  <c r="D26" i="2" s="1"/>
  <c r="B27" i="2" s="1"/>
  <c r="I68" i="5" l="1"/>
  <c r="J69" i="5"/>
  <c r="I118" i="5"/>
  <c r="J117" i="5"/>
  <c r="C27" i="2"/>
  <c r="D27" i="2" s="1"/>
  <c r="B28" i="2" s="1"/>
  <c r="E27" i="2"/>
  <c r="J68" i="5" l="1"/>
  <c r="I67" i="5"/>
  <c r="I119" i="5"/>
  <c r="J118" i="5"/>
  <c r="E28" i="2"/>
  <c r="C28" i="2"/>
  <c r="D28" i="2" s="1"/>
  <c r="B29" i="2" s="1"/>
  <c r="I66" i="5" l="1"/>
  <c r="J67" i="5"/>
  <c r="J119" i="5"/>
  <c r="I120" i="5"/>
  <c r="J120" i="5" s="1"/>
  <c r="E29" i="2"/>
  <c r="C29" i="2"/>
  <c r="D29" i="2" s="1"/>
  <c r="B30" i="2" s="1"/>
  <c r="J66" i="5" l="1"/>
  <c r="I65" i="5"/>
  <c r="C30" i="2"/>
  <c r="D30" i="2" s="1"/>
  <c r="B31" i="2" s="1"/>
  <c r="E30" i="2"/>
  <c r="J65" i="5" l="1"/>
  <c r="I64" i="5"/>
  <c r="C31" i="2"/>
  <c r="D31" i="2" s="1"/>
  <c r="B32" i="2" s="1"/>
  <c r="E31" i="2"/>
  <c r="I63" i="5" l="1"/>
  <c r="J64" i="5"/>
  <c r="E32" i="2"/>
  <c r="C32" i="2"/>
  <c r="D32" i="2" s="1"/>
  <c r="B33" i="2" s="1"/>
  <c r="J63" i="5" l="1"/>
  <c r="K5" i="4"/>
  <c r="E33" i="2"/>
  <c r="C33" i="2"/>
  <c r="D33" i="2" s="1"/>
  <c r="B34" i="2" s="1"/>
  <c r="E34" i="2" l="1"/>
  <c r="C34" i="2"/>
  <c r="D34" i="2" s="1"/>
  <c r="B35" i="2" s="1"/>
  <c r="C35" i="2" l="1"/>
  <c r="D35" i="2" s="1"/>
  <c r="E35" i="2"/>
  <c r="B5" i="3"/>
  <c r="C5" i="3"/>
  <c r="G5" i="3"/>
  <c r="I5" i="3"/>
  <c r="J5" i="3"/>
  <c r="B6" i="3"/>
  <c r="C6" i="3"/>
  <c r="D6" i="3"/>
  <c r="I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B27" i="3"/>
  <c r="C27" i="3"/>
  <c r="D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A7" i="4"/>
  <c r="B7" i="4"/>
  <c r="C7" i="4"/>
  <c r="D7" i="4"/>
  <c r="E7" i="4"/>
  <c r="F7" i="4"/>
  <c r="G7" i="4"/>
  <c r="H7" i="4"/>
  <c r="I7" i="4"/>
  <c r="J7" i="4"/>
  <c r="K7" i="4"/>
  <c r="L7" i="4"/>
  <c r="M7" i="4"/>
  <c r="G8"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s>
  <commentList>
    <comment ref="G4" authorId="0" shapeId="0">
      <text>
        <r>
          <rPr>
            <b/>
            <sz val="8"/>
            <color indexed="81"/>
            <rFont val="Tahoma"/>
            <family val="2"/>
            <charset val="204"/>
          </rPr>
          <t xml:space="preserve">ten_IG:
</t>
        </r>
        <r>
          <rPr>
            <sz val="8"/>
            <color indexed="81"/>
            <rFont val="Tahoma"/>
            <family val="2"/>
            <charset val="204"/>
          </rPr>
          <t>The Pocret search method can be haved any Initial step size.
Because it's value can be choiced by best for the optimization problem.</t>
        </r>
      </text>
    </comment>
  </commentList>
</comments>
</file>

<file path=xl/comments3.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 ref="G6" authorId="0" shapeId="0">
      <text>
        <r>
          <rPr>
            <b/>
            <sz val="8"/>
            <color indexed="81"/>
            <rFont val="Tahoma"/>
            <family val="2"/>
            <charset val="204"/>
          </rPr>
          <t>ten_IG:</t>
        </r>
        <r>
          <rPr>
            <sz val="8"/>
            <color indexed="81"/>
            <rFont val="Tahoma"/>
            <family val="2"/>
            <charset val="204"/>
          </rPr>
          <t xml:space="preserve">
Для продолжения поиска надо щелкать по кнопке &lt;F9&gt;</t>
        </r>
      </text>
    </comment>
  </commentList>
</comments>
</file>

<file path=xl/comments4.xml><?xml version="1.0" encoding="utf-8"?>
<comments xmlns="http://schemas.openxmlformats.org/spreadsheetml/2006/main">
  <authors>
    <author>ten_IG</author>
    <author>Ten</author>
    <author>Иосиф</author>
  </authors>
  <commentList>
    <comment ref="G11" authorId="0" shapeId="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I24" authorId="1" shapeId="0">
      <text>
        <r>
          <rPr>
            <b/>
            <sz val="8"/>
            <color indexed="81"/>
            <rFont val="Tahoma"/>
            <family val="2"/>
            <charset val="204"/>
          </rPr>
          <t>Ten:</t>
        </r>
        <r>
          <rPr>
            <sz val="8"/>
            <color indexed="81"/>
            <rFont val="Tahoma"/>
            <family val="2"/>
            <charset val="204"/>
          </rPr>
          <t xml:space="preserve">
Величина шага изменения значения параметра "Начальный шаг поиска" h0 в диапазоне ячеек Sheet5!G26:G59.</t>
        </r>
      </text>
    </comment>
    <comment ref="G25" authorId="0" shapeId="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I61" authorId="1" shapeId="0">
      <text>
        <r>
          <rPr>
            <b/>
            <sz val="8"/>
            <color indexed="81"/>
            <rFont val="Tahoma"/>
            <family val="2"/>
            <charset val="204"/>
          </rPr>
          <t>Ten:</t>
        </r>
        <r>
          <rPr>
            <sz val="8"/>
            <color indexed="81"/>
            <rFont val="Tahoma"/>
            <family val="2"/>
            <charset val="204"/>
          </rPr>
          <t xml:space="preserve">
Величина шага изменения значения параметра "Начальная цена" в диапазоне ячеек Sheet5!I63:I85.</t>
        </r>
      </text>
    </comment>
    <comment ref="G62" authorId="0" shapeId="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 ref="I93" authorId="2" shapeId="0">
      <text>
        <r>
          <rPr>
            <b/>
            <sz val="9"/>
            <color indexed="81"/>
            <rFont val="Tahoma"/>
            <family val="2"/>
            <charset val="204"/>
          </rPr>
          <t>Иосиф:</t>
        </r>
        <r>
          <rPr>
            <sz val="9"/>
            <color indexed="81"/>
            <rFont val="Tahoma"/>
            <family val="2"/>
            <charset val="204"/>
          </rPr>
          <t xml:space="preserve">
Here the solution of problem must be inserted.</t>
        </r>
      </text>
    </comment>
    <comment ref="G123" authorId="0" shapeId="0">
      <text>
        <r>
          <rPr>
            <b/>
            <sz val="8"/>
            <color indexed="81"/>
            <rFont val="Tahoma"/>
            <family val="2"/>
            <charset val="204"/>
          </rPr>
          <t>ten_IG:</t>
        </r>
        <r>
          <rPr>
            <sz val="8"/>
            <color indexed="81"/>
            <rFont val="Tahoma"/>
            <family val="2"/>
            <charset val="204"/>
          </rPr>
          <t xml:space="preserve">
В методе поразрядного приближения значение параметра h может  быть любым.</t>
        </r>
      </text>
    </comment>
  </commentList>
</comments>
</file>

<file path=xl/sharedStrings.xml><?xml version="1.0" encoding="utf-8"?>
<sst xmlns="http://schemas.openxmlformats.org/spreadsheetml/2006/main" count="139" uniqueCount="93">
  <si>
    <t>№</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</si>
  <si>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</si>
  <si>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</si>
  <si>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</si>
  <si>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</si>
  <si>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</si>
  <si>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</si>
  <si>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</si>
  <si>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</si>
  <si>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</si>
  <si>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</si>
  <si>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Прибыль=Спрос*(Цена-Себестоимость); Спрос=A/(Цена+Цена*B)^(2*D); Кредит=Себестоимость*Спрос.</t>
  </si>
  <si>
    <t>Количество итераций</t>
  </si>
  <si>
    <t>Допустимая Погрешность</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</si>
  <si>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</si>
  <si>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</si>
  <si>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</si>
  <si>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</si>
  <si>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</si>
  <si>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</si>
  <si>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</si>
  <si>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r>
      <t xml:space="preserve">Лабораторная работа №_5: Исследование </t>
    </r>
    <r>
      <rPr>
        <b/>
        <i/>
        <sz val="14"/>
        <rFont val="Arial Cyr"/>
        <charset val="204"/>
      </rPr>
      <t>метода поразрядного приближения</t>
    </r>
    <r>
      <rPr>
        <b/>
        <sz val="10"/>
        <rFont val="Arial Cyr"/>
        <charset val="204"/>
      </rPr>
      <t xml:space="preserve"> при решении задачи №1.</t>
    </r>
  </si>
  <si>
    <t>Программа, реализующая метод поразрядного приближения</t>
  </si>
  <si>
    <t>R</t>
  </si>
  <si>
    <r>
      <t>h</t>
    </r>
    <r>
      <rPr>
        <vertAlign val="superscript"/>
        <sz val="10"/>
        <rFont val="Arial Cyr"/>
        <charset val="204"/>
      </rPr>
      <t>k</t>
    </r>
  </si>
  <si>
    <r>
      <t>h</t>
    </r>
    <r>
      <rPr>
        <vertAlign val="superscript"/>
        <sz val="10"/>
        <rFont val="Arial Cyr"/>
        <charset val="204"/>
      </rPr>
      <t>k+1</t>
    </r>
  </si>
  <si>
    <t>Размер области поска: Начальная цена- Оптимальная цена</t>
  </si>
  <si>
    <r>
      <t>Величина начального шага поиска h</t>
    </r>
    <r>
      <rPr>
        <vertAlign val="superscript"/>
        <sz val="8"/>
        <rFont val="Arial Cyr"/>
        <charset val="204"/>
      </rPr>
      <t>0</t>
    </r>
  </si>
  <si>
    <r>
      <t>Определить наилучшее значение параметров настройки R и h</t>
    </r>
    <r>
      <rPr>
        <vertAlign val="superscript"/>
        <sz val="10"/>
        <rFont val="Arial Cyr"/>
        <charset val="204"/>
      </rPr>
      <t>0</t>
    </r>
  </si>
  <si>
    <t>Исследовать зависимость Количества итераций от Допустимой Погрешности, Начального значения цены и Величины начального шага поиска и параметра R.</t>
  </si>
  <si>
    <t>Задание по лабораторной работе №5:</t>
  </si>
  <si>
    <t>Выбор допустимой погрешности</t>
  </si>
  <si>
    <t>Параметр R</t>
  </si>
  <si>
    <t>f(x)=[exp(x)-2-x]^2 .</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</si>
  <si>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</si>
  <si>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</si>
  <si>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</si>
  <si>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</si>
  <si>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</si>
  <si>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X*</t>
  </si>
  <si>
    <t>Упражнение 5.1 Использовать Алгоритм Поразрядного Приближения для поиска локального минимума заданной целевой функции</t>
  </si>
  <si>
    <t>Допустимая погрешность</t>
  </si>
  <si>
    <t>Размер начального шага</t>
  </si>
  <si>
    <t>alfa</t>
  </si>
  <si>
    <t>Задание по лабораторной работе:</t>
  </si>
  <si>
    <t>1. Исследовать зависимости Количества итераций от Допустимой Погрешности, Начального значения цены и Величины начального шага поиска и параметра R.</t>
  </si>
  <si>
    <t>2. Построить в виде графиков 5.1, 5.2, 5.3, 5.4 эти зависимости.</t>
  </si>
  <si>
    <r>
      <t>3. Определить наилучшее значение параметров настройки R и h</t>
    </r>
    <r>
      <rPr>
        <vertAlign val="superscript"/>
        <sz val="10"/>
        <rFont val="Arial Cyr"/>
        <charset val="204"/>
      </rPr>
      <t>0</t>
    </r>
  </si>
  <si>
    <r>
      <t>Величина начального шага поиска h</t>
    </r>
    <r>
      <rPr>
        <b/>
        <vertAlign val="superscript"/>
        <sz val="8"/>
        <rFont val="Arial Cyr"/>
      </rPr>
      <t>0</t>
    </r>
  </si>
  <si>
    <t>Колличество итераций</t>
  </si>
  <si>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</si>
  <si>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</si>
  <si>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</si>
  <si>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</si>
  <si>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List of sigma</t>
  </si>
  <si>
    <t>Min</t>
  </si>
  <si>
    <t>SIGMA</t>
  </si>
  <si>
    <t>4. Определить скорость сходимости Метода Поразрядного приближения.</t>
  </si>
  <si>
    <r>
      <t xml:space="preserve">Таблица 5.4  Зависимость </t>
    </r>
    <r>
      <rPr>
        <b/>
        <i/>
        <sz val="10"/>
        <rFont val="Arial Cyr"/>
        <charset val="204"/>
      </rPr>
      <t>Количества итераций</t>
    </r>
    <r>
      <rPr>
        <b/>
        <sz val="10"/>
        <rFont val="Arial Cyr"/>
      </rPr>
      <t xml:space="preserve"> от </t>
    </r>
    <r>
      <rPr>
        <b/>
        <i/>
        <sz val="10"/>
        <rFont val="Arial Cyr"/>
        <charset val="204"/>
      </rPr>
      <t>Параметра R.</t>
    </r>
  </si>
  <si>
    <r>
      <t xml:space="preserve">Таблица 5.3  Зависимость </t>
    </r>
    <r>
      <rPr>
        <b/>
        <i/>
        <sz val="10"/>
        <rFont val="Arial Cyr"/>
        <charset val="204"/>
      </rPr>
      <t>Количества итераций</t>
    </r>
    <r>
      <rPr>
        <b/>
        <sz val="10"/>
        <rFont val="Arial Cyr"/>
      </rPr>
      <t xml:space="preserve"> от </t>
    </r>
    <r>
      <rPr>
        <b/>
        <i/>
        <sz val="10"/>
        <rFont val="Arial Cyr"/>
        <charset val="204"/>
      </rPr>
      <t>Начальной цены.</t>
    </r>
  </si>
  <si>
    <r>
      <t xml:space="preserve">Таблица 5.2  Зависимость </t>
    </r>
    <r>
      <rPr>
        <b/>
        <i/>
        <sz val="10"/>
        <rFont val="Arial Cyr"/>
        <charset val="204"/>
      </rPr>
      <t>Количества итераций</t>
    </r>
    <r>
      <rPr>
        <b/>
        <sz val="10"/>
        <rFont val="Arial Cyr"/>
      </rPr>
      <t xml:space="preserve"> от </t>
    </r>
    <r>
      <rPr>
        <b/>
        <i/>
        <sz val="10"/>
        <rFont val="Arial Cyr"/>
        <charset val="204"/>
      </rPr>
      <t>Величины начального шага поиска h</t>
    </r>
    <r>
      <rPr>
        <b/>
        <i/>
        <vertAlign val="superscript"/>
        <sz val="10"/>
        <rFont val="Arial Cyr"/>
        <charset val="204"/>
      </rPr>
      <t>0</t>
    </r>
    <r>
      <rPr>
        <b/>
        <i/>
        <sz val="10"/>
        <rFont val="Arial Cyr"/>
        <charset val="204"/>
      </rPr>
      <t>.</t>
    </r>
  </si>
  <si>
    <r>
      <t xml:space="preserve">Таблица 5.1  Зависимость </t>
    </r>
    <r>
      <rPr>
        <b/>
        <i/>
        <sz val="10"/>
        <rFont val="Arial Cyr"/>
        <charset val="204"/>
      </rPr>
      <t>Количества итераций</t>
    </r>
    <r>
      <rPr>
        <b/>
        <sz val="10"/>
        <rFont val="Arial Cyr"/>
      </rPr>
      <t xml:space="preserve"> от </t>
    </r>
    <r>
      <rPr>
        <b/>
        <i/>
        <sz val="10"/>
        <rFont val="Arial Cyr"/>
        <charset val="204"/>
      </rPr>
      <t>Допустимой погрешности.</t>
    </r>
  </si>
  <si>
    <r>
      <t xml:space="preserve"> h</t>
    </r>
    <r>
      <rPr>
        <b/>
        <vertAlign val="superscript"/>
        <sz val="10"/>
        <rFont val="Arial Cyr"/>
        <charset val="204"/>
      </rPr>
      <t>0</t>
    </r>
  </si>
  <si>
    <t>Таблица 5.6. Исследование влияния параметров настройки метода поразрядного приближения на скорость сходимости</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</si>
  <si>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</si>
  <si>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</si>
  <si>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</si>
  <si>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</si>
  <si>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</si>
  <si>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</si>
  <si>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</si>
  <si>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)/A</t>
    </r>
    <r>
      <rPr>
        <b/>
        <vertAlign val="subscript"/>
        <sz val="10"/>
        <rFont val="Arial Cyr"/>
        <charset val="204"/>
      </rPr>
      <t>k</t>
    </r>
    <r>
      <rPr>
        <b/>
        <sz val="10"/>
        <rFont val="Arial Cyr"/>
        <charset val="204"/>
      </rPr>
      <t>)</t>
    </r>
  </si>
  <si>
    <t>Таблица 5.5 Исходные данные для определения скорости сходимости Метода поразрядного приближения</t>
  </si>
  <si>
    <t>Таблица 5.6. Определение скорости сходимости Метода поразрядного приближения</t>
  </si>
  <si>
    <t>Limit of Credit Value</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</si>
  <si>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</si>
  <si>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</si>
  <si>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</si>
  <si>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</si>
  <si>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</si>
  <si>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</si>
  <si>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</si>
  <si>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</si>
  <si>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</si>
  <si>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</si>
  <si>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</si>
  <si>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</si>
  <si>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</si>
  <si>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</si>
  <si>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</si>
  <si>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</si>
  <si>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</si>
  <si>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r>
      <t>Вывод: Метода поразрядного приближения  имеет квадратичную скорость сходимости при h</t>
    </r>
    <r>
      <rPr>
        <vertAlign val="superscript"/>
        <sz val="10"/>
        <rFont val="Times New Roman"/>
        <family val="1"/>
      </rPr>
      <t>0</t>
    </r>
    <r>
      <rPr>
        <sz val="14"/>
        <rFont val="Times New Roman"/>
        <family val="1"/>
        <charset val="204"/>
      </rPr>
      <t xml:space="preserve"> = 1550 и R = 10 потому, что  ряд   {abs(X*-Xk+1)/abs(X*-Xk)^sigma} сходится к значению А=0.0426135502841621 только при sigma=2.</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</si>
</sst>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000E+00"/>
    <numFmt numFmtId="166" formatCode="0.000000E+00"/>
    <numFmt numFmtId="167" formatCode="#,##0.000000"/>
  </numFmts>
  <fonts count="34">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sz val="8"/>
      <color indexed="81"/>
      <name val="Tahoma"/>
      <family val="2"/>
      <charset val="204"/>
    </font>
    <font>
      <b/>
      <sz val="8"/>
      <color indexed="81"/>
      <name val="Tahoma"/>
      <family val="2"/>
      <charset val="204"/>
    </font>
    <font>
      <sz val="10"/>
      <name val="Arial Cyr"/>
      <charset val="204"/>
    </font>
    <font>
      <vertAlign val="superscript"/>
      <sz val="10"/>
      <name val="Arial Cyr"/>
      <charset val="204"/>
    </font>
    <font>
      <vertAlign val="superscript"/>
      <sz val="8"/>
      <name val="Arial Cyr"/>
      <charset val="204"/>
    </font>
    <font>
      <b/>
      <sz val="10"/>
      <name val="Arial"/>
      <family val="2"/>
      <charset val="204"/>
    </font>
    <font>
      <b/>
      <vertAlign val="superscript"/>
      <sz val="10"/>
      <name val="Arial"/>
      <family val="2"/>
      <charset val="204"/>
    </font>
    <font>
      <b/>
      <sz val="10"/>
      <name val="Arial"/>
      <family val="2"/>
      <charset val="204"/>
    </font>
    <font>
      <sz val="8"/>
      <name val="Arial"/>
      <family val="2"/>
      <charset val="204"/>
    </font>
    <font>
      <b/>
      <sz val="8"/>
      <name val="Arial Cyr"/>
      <charset val="204"/>
    </font>
    <font>
      <b/>
      <sz val="8"/>
      <name val="Arial"/>
      <family val="2"/>
    </font>
    <font>
      <b/>
      <sz val="10"/>
      <name val="Arial Cyr"/>
    </font>
    <font>
      <b/>
      <sz val="8"/>
      <name val="Arial Cyr"/>
    </font>
    <font>
      <b/>
      <vertAlign val="superscript"/>
      <sz val="8"/>
      <name val="Arial Cyr"/>
    </font>
    <font>
      <sz val="12"/>
      <name val="Times New Roman"/>
      <family val="1"/>
      <charset val="204"/>
    </font>
    <font>
      <b/>
      <i/>
      <sz val="10"/>
      <name val="Arial Cyr"/>
      <charset val="204"/>
    </font>
    <font>
      <b/>
      <i/>
      <vertAlign val="superscript"/>
      <sz val="10"/>
      <name val="Arial Cyr"/>
      <charset val="204"/>
    </font>
    <font>
      <b/>
      <vertAlign val="superscript"/>
      <sz val="10"/>
      <name val="Arial Cyr"/>
      <charset val="204"/>
    </font>
    <font>
      <sz val="10"/>
      <name val="Arial"/>
      <family val="2"/>
      <charset val="204"/>
    </font>
    <font>
      <sz val="10"/>
      <name val="Arial Cyr"/>
      <charset val="204"/>
    </font>
    <font>
      <sz val="14"/>
      <name val="Times New Roman"/>
      <family val="1"/>
      <charset val="204"/>
    </font>
    <font>
      <sz val="12"/>
      <name val="Arial Cyr"/>
      <charset val="204"/>
    </font>
    <font>
      <vertAlign val="subscript"/>
      <sz val="8"/>
      <name val="Arial Cyr"/>
      <charset val="204"/>
    </font>
    <font>
      <b/>
      <sz val="9"/>
      <color indexed="81"/>
      <name val="Tahoma"/>
      <family val="2"/>
      <charset val="204"/>
    </font>
    <font>
      <sz val="9"/>
      <color indexed="81"/>
      <name val="Tahoma"/>
      <family val="2"/>
      <charset val="204"/>
    </font>
    <font>
      <b/>
      <sz val="10"/>
      <name val="Arial"/>
      <family val="2"/>
    </font>
    <font>
      <vertAlign val="superscript"/>
      <sz val="10"/>
      <name val="Times New Roman"/>
      <family val="1"/>
    </font>
    <font>
      <sz val="10"/>
      <color rgb="FF000000"/>
      <name val="Arial Cyr"/>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1">
    <xf numFmtId="0" fontId="0" fillId="0" borderId="0"/>
  </cellStyleXfs>
  <cellXfs count="175">
    <xf numFmtId="0" fontId="0" fillId="0" borderId="0" xfId="0"/>
    <xf numFmtId="0" fontId="0" fillId="0" borderId="1" xfId="0" applyBorder="1"/>
    <xf numFmtId="11" fontId="0" fillId="0" borderId="1" xfId="0" applyNumberFormat="1" applyBorder="1"/>
    <xf numFmtId="0" fontId="3" fillId="0" borderId="0" xfId="0" applyFont="1"/>
    <xf numFmtId="0" fontId="0" fillId="0" borderId="2" xfId="0" applyBorder="1"/>
    <xf numFmtId="0" fontId="0" fillId="0" borderId="3" xfId="0" applyBorder="1"/>
    <xf numFmtId="0" fontId="0" fillId="0" borderId="4" xfId="0" applyBorder="1"/>
    <xf numFmtId="0" fontId="2" fillId="0" borderId="5" xfId="0" applyFont="1" applyBorder="1" applyAlignment="1">
      <alignment wrapText="1"/>
    </xf>
    <xf numFmtId="0" fontId="2" fillId="0" borderId="6" xfId="0" applyFont="1" applyBorder="1" applyAlignment="1">
      <alignment wrapText="1"/>
    </xf>
    <xf numFmtId="0" fontId="0" fillId="0" borderId="7" xfId="0" applyBorder="1" applyAlignment="1" applyProtection="1">
      <protection locked="0"/>
    </xf>
    <xf numFmtId="164" fontId="0" fillId="0" borderId="8" xfId="0" applyNumberFormat="1" applyBorder="1" applyAlignment="1" applyProtection="1">
      <protection locked="0"/>
    </xf>
    <xf numFmtId="0" fontId="0" fillId="0" borderId="1" xfId="0" applyBorder="1" applyProtection="1">
      <protection locked="0"/>
    </xf>
    <xf numFmtId="0" fontId="0" fillId="0" borderId="0" xfId="0" applyProtection="1">
      <protection locked="0"/>
    </xf>
    <xf numFmtId="0" fontId="2" fillId="0" borderId="9" xfId="0" applyFont="1" applyBorder="1" applyAlignment="1" applyProtection="1">
      <alignment wrapText="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0" fillId="0" borderId="2" xfId="0" applyBorder="1" applyProtection="1">
      <protection locked="0"/>
    </xf>
    <xf numFmtId="0" fontId="0" fillId="0" borderId="13"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14" xfId="0" applyBorder="1" applyProtection="1">
      <protection locked="0"/>
    </xf>
    <xf numFmtId="0" fontId="0" fillId="0" borderId="1" xfId="0" applyBorder="1" applyAlignment="1">
      <alignment wrapText="1"/>
    </xf>
    <xf numFmtId="0" fontId="0" fillId="0" borderId="9" xfId="0" applyBorder="1" applyProtection="1">
      <protection locked="0"/>
    </xf>
    <xf numFmtId="0" fontId="0" fillId="0" borderId="1" xfId="0" applyFill="1" applyBorder="1" applyAlignment="1">
      <alignment horizontal="center" vertical="center" wrapText="1"/>
    </xf>
    <xf numFmtId="1" fontId="0" fillId="0" borderId="11" xfId="0" applyNumberFormat="1" applyBorder="1" applyProtection="1">
      <protection locked="0"/>
    </xf>
    <xf numFmtId="164" fontId="0" fillId="0" borderId="0" xfId="0" applyNumberFormat="1"/>
    <xf numFmtId="0" fontId="8" fillId="0" borderId="9" xfId="0" applyFont="1" applyBorder="1" applyAlignment="1">
      <alignment wrapText="1"/>
    </xf>
    <xf numFmtId="0" fontId="8" fillId="0" borderId="9" xfId="0" applyFont="1" applyFill="1" applyBorder="1" applyAlignment="1">
      <alignment wrapText="1"/>
    </xf>
    <xf numFmtId="0" fontId="2" fillId="0" borderId="9" xfId="0" applyFont="1" applyBorder="1" applyAlignment="1">
      <alignment wrapText="1"/>
    </xf>
    <xf numFmtId="164" fontId="1" fillId="2" borderId="8" xfId="0" applyNumberFormat="1" applyFont="1" applyFill="1" applyBorder="1" applyAlignment="1" applyProtection="1">
      <alignment wrapText="1"/>
      <protection locked="0"/>
    </xf>
    <xf numFmtId="164" fontId="0" fillId="2" borderId="8" xfId="0" applyNumberFormat="1" applyFill="1" applyBorder="1" applyAlignment="1" applyProtection="1">
      <protection locked="0"/>
    </xf>
    <xf numFmtId="165" fontId="0" fillId="2" borderId="8" xfId="0" applyNumberFormat="1" applyFill="1" applyBorder="1" applyAlignment="1" applyProtection="1">
      <protection locked="0"/>
    </xf>
    <xf numFmtId="1" fontId="0" fillId="2" borderId="8" xfId="0" applyNumberFormat="1" applyFill="1" applyBorder="1" applyAlignment="1" applyProtection="1">
      <protection locked="0"/>
    </xf>
    <xf numFmtId="0" fontId="1" fillId="0" borderId="9" xfId="0" applyFont="1" applyFill="1" applyBorder="1" applyAlignment="1">
      <alignment horizontal="center" wrapText="1"/>
    </xf>
    <xf numFmtId="0" fontId="0" fillId="0" borderId="8" xfId="0" applyBorder="1" applyProtection="1">
      <protection locked="0"/>
    </xf>
    <xf numFmtId="0" fontId="0" fillId="0" borderId="15" xfId="0" applyBorder="1" applyProtection="1">
      <protection locked="0"/>
    </xf>
    <xf numFmtId="0" fontId="1" fillId="0" borderId="0" xfId="0" applyFont="1"/>
    <xf numFmtId="0" fontId="11" fillId="0" borderId="0" xfId="0" applyFont="1"/>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3" fillId="0" borderId="6" xfId="0" applyFont="1" applyBorder="1" applyAlignment="1">
      <alignment wrapText="1"/>
    </xf>
    <xf numFmtId="0" fontId="13" fillId="0" borderId="16" xfId="0" applyFont="1" applyFill="1" applyBorder="1" applyAlignment="1">
      <alignment horizontal="center" vertical="center" wrapText="1"/>
    </xf>
    <xf numFmtId="0" fontId="0" fillId="0" borderId="10" xfId="0" applyBorder="1"/>
    <xf numFmtId="0" fontId="0" fillId="0" borderId="11" xfId="0" applyBorder="1"/>
    <xf numFmtId="0" fontId="14" fillId="0" borderId="11" xfId="0" applyFont="1" applyBorder="1"/>
    <xf numFmtId="0" fontId="0" fillId="0" borderId="12" xfId="0" applyFill="1" applyBorder="1"/>
    <xf numFmtId="0" fontId="0" fillId="3" borderId="17" xfId="0" applyFill="1" applyBorder="1" applyAlignment="1" applyProtection="1">
      <alignment horizontal="center" vertical="center"/>
    </xf>
    <xf numFmtId="0" fontId="0" fillId="3" borderId="8" xfId="0" applyFill="1" applyBorder="1" applyProtection="1">
      <protection locked="0"/>
    </xf>
    <xf numFmtId="0" fontId="0" fillId="3" borderId="15" xfId="0" applyFill="1" applyBorder="1" applyAlignment="1" applyProtection="1">
      <alignment horizontal="center"/>
      <protection locked="0"/>
    </xf>
    <xf numFmtId="0" fontId="14" fillId="0" borderId="1" xfId="0" applyFont="1" applyBorder="1"/>
    <xf numFmtId="0" fontId="0" fillId="0" borderId="13" xfId="0" applyFill="1" applyBorder="1"/>
    <xf numFmtId="0" fontId="0" fillId="0" borderId="18" xfId="0" applyBorder="1" applyAlignment="1">
      <alignment horizontal="center"/>
    </xf>
    <xf numFmtId="0" fontId="0" fillId="0" borderId="19" xfId="0" applyBorder="1"/>
    <xf numFmtId="0" fontId="14" fillId="0" borderId="4" xfId="0" applyFont="1" applyBorder="1"/>
    <xf numFmtId="0" fontId="0" fillId="0" borderId="14" xfId="0" applyFill="1" applyBorder="1"/>
    <xf numFmtId="0" fontId="17" fillId="0" borderId="0" xfId="0" applyFont="1"/>
    <xf numFmtId="0" fontId="18" fillId="0" borderId="5" xfId="0" applyFont="1" applyBorder="1" applyAlignment="1" applyProtection="1">
      <alignment wrapText="1"/>
      <protection locked="0"/>
    </xf>
    <xf numFmtId="0" fontId="18" fillId="0" borderId="6" xfId="0" applyFont="1" applyBorder="1" applyAlignment="1" applyProtection="1">
      <alignment wrapText="1"/>
      <protection locked="0"/>
    </xf>
    <xf numFmtId="0" fontId="18" fillId="0" borderId="16" xfId="0" applyFont="1" applyBorder="1" applyAlignment="1" applyProtection="1">
      <alignment wrapText="1"/>
      <protection locked="0"/>
    </xf>
    <xf numFmtId="1" fontId="0" fillId="0" borderId="1" xfId="0" applyNumberFormat="1" applyBorder="1" applyProtection="1">
      <protection locked="0"/>
    </xf>
    <xf numFmtId="1" fontId="0" fillId="0" borderId="4" xfId="0" applyNumberFormat="1" applyBorder="1" applyProtection="1">
      <protection locked="0"/>
    </xf>
    <xf numFmtId="165" fontId="0" fillId="3" borderId="8" xfId="0" applyNumberFormat="1" applyFill="1" applyBorder="1" applyAlignment="1" applyProtection="1">
      <protection locked="0"/>
    </xf>
    <xf numFmtId="164" fontId="0" fillId="0" borderId="1" xfId="0" applyNumberFormat="1" applyBorder="1" applyProtection="1">
      <protection locked="0"/>
    </xf>
    <xf numFmtId="165" fontId="0" fillId="0" borderId="1" xfId="0" applyNumberFormat="1" applyBorder="1" applyProtection="1">
      <protection locked="0"/>
    </xf>
    <xf numFmtId="164" fontId="0" fillId="0" borderId="4" xfId="0" applyNumberFormat="1" applyBorder="1" applyProtection="1">
      <protection locked="0"/>
    </xf>
    <xf numFmtId="165" fontId="0" fillId="0" borderId="4" xfId="0" applyNumberFormat="1" applyBorder="1" applyProtection="1">
      <protection locked="0"/>
    </xf>
    <xf numFmtId="164" fontId="0" fillId="0" borderId="11" xfId="0" applyNumberFormat="1" applyBorder="1" applyProtection="1">
      <protection locked="0"/>
    </xf>
    <xf numFmtId="165" fontId="0" fillId="0" borderId="11" xfId="0" applyNumberFormat="1" applyBorder="1" applyProtection="1">
      <protection locked="0"/>
    </xf>
    <xf numFmtId="164" fontId="0" fillId="0" borderId="1" xfId="0" applyNumberFormat="1" applyFill="1" applyBorder="1" applyAlignment="1" applyProtection="1">
      <protection locked="0"/>
    </xf>
    <xf numFmtId="165" fontId="0" fillId="0" borderId="1" xfId="0" applyNumberFormat="1" applyFill="1" applyBorder="1" applyAlignment="1" applyProtection="1">
      <protection locked="0"/>
    </xf>
    <xf numFmtId="1" fontId="0" fillId="0" borderId="1" xfId="0" applyNumberFormat="1" applyFill="1" applyBorder="1" applyAlignment="1" applyProtection="1">
      <protection locked="0"/>
    </xf>
    <xf numFmtId="164" fontId="0" fillId="0" borderId="4" xfId="0" applyNumberFormat="1" applyBorder="1"/>
    <xf numFmtId="165" fontId="0" fillId="0" borderId="4" xfId="0" applyNumberFormat="1" applyBorder="1"/>
    <xf numFmtId="1" fontId="0" fillId="0" borderId="4" xfId="0" applyNumberFormat="1" applyBorder="1"/>
    <xf numFmtId="164" fontId="0" fillId="0" borderId="1" xfId="0" applyNumberFormat="1" applyFill="1" applyBorder="1" applyProtection="1">
      <protection locked="0"/>
    </xf>
    <xf numFmtId="165" fontId="0" fillId="0" borderId="1" xfId="0" applyNumberFormat="1" applyFill="1" applyBorder="1" applyProtection="1">
      <protection locked="0"/>
    </xf>
    <xf numFmtId="1" fontId="0" fillId="0" borderId="1" xfId="0" applyNumberFormat="1" applyFill="1" applyBorder="1" applyProtection="1">
      <protection locked="0"/>
    </xf>
    <xf numFmtId="164" fontId="0" fillId="0" borderId="11" xfId="0" applyNumberFormat="1" applyFill="1" applyBorder="1" applyAlignment="1" applyProtection="1">
      <protection locked="0"/>
    </xf>
    <xf numFmtId="165" fontId="0" fillId="0" borderId="11" xfId="0" applyNumberFormat="1" applyFill="1" applyBorder="1" applyAlignment="1" applyProtection="1">
      <protection locked="0"/>
    </xf>
    <xf numFmtId="1" fontId="0" fillId="0" borderId="11" xfId="0" applyNumberFormat="1" applyFill="1" applyBorder="1" applyAlignment="1" applyProtection="1">
      <protection locked="0"/>
    </xf>
    <xf numFmtId="0" fontId="18" fillId="0" borderId="20" xfId="0" applyFont="1" applyBorder="1" applyAlignment="1" applyProtection="1">
      <alignment wrapText="1"/>
      <protection locked="0"/>
    </xf>
    <xf numFmtId="0" fontId="0" fillId="0" borderId="12" xfId="0" applyBorder="1"/>
    <xf numFmtId="0" fontId="0" fillId="0" borderId="13" xfId="0" applyBorder="1"/>
    <xf numFmtId="0" fontId="0" fillId="0" borderId="14" xfId="0" applyBorder="1"/>
    <xf numFmtId="0" fontId="3" fillId="4" borderId="15" xfId="0" applyFont="1" applyFill="1" applyBorder="1" applyAlignment="1">
      <alignment horizontal="center"/>
    </xf>
    <xf numFmtId="11" fontId="0" fillId="0" borderId="21" xfId="0" applyNumberFormat="1" applyBorder="1"/>
    <xf numFmtId="0" fontId="3" fillId="0" borderId="5" xfId="0" applyFont="1" applyBorder="1" applyAlignment="1">
      <alignment horizontal="center"/>
    </xf>
    <xf numFmtId="0" fontId="3" fillId="0" borderId="6" xfId="0" applyFont="1" applyBorder="1" applyAlignment="1">
      <alignment horizontal="center"/>
    </xf>
    <xf numFmtId="0" fontId="3" fillId="0" borderId="16" xfId="0" applyFont="1" applyBorder="1" applyAlignment="1">
      <alignment horizontal="center"/>
    </xf>
    <xf numFmtId="0" fontId="0" fillId="0" borderId="9" xfId="0" applyNumberFormat="1" applyBorder="1" applyAlignment="1" applyProtection="1">
      <alignment horizontal="center"/>
      <protection locked="0"/>
    </xf>
    <xf numFmtId="0" fontId="0" fillId="0" borderId="9" xfId="0" applyNumberFormat="1" applyBorder="1" applyAlignment="1" applyProtection="1">
      <alignment horizontal="center" wrapText="1"/>
      <protection locked="0"/>
    </xf>
    <xf numFmtId="0" fontId="0" fillId="0" borderId="9" xfId="0" applyNumberFormat="1" applyFill="1" applyBorder="1" applyAlignment="1" applyProtection="1">
      <alignment horizontal="center"/>
      <protection locked="0"/>
    </xf>
    <xf numFmtId="0" fontId="0" fillId="0" borderId="0" xfId="0" applyNumberFormat="1" applyProtection="1">
      <protection locked="0"/>
    </xf>
    <xf numFmtId="164" fontId="0" fillId="0" borderId="1" xfId="0" applyNumberFormat="1" applyBorder="1"/>
    <xf numFmtId="165" fontId="0" fillId="0" borderId="1" xfId="0" applyNumberFormat="1" applyBorder="1"/>
    <xf numFmtId="1" fontId="0" fillId="0" borderId="1" xfId="0" applyNumberFormat="1" applyBorder="1"/>
    <xf numFmtId="0" fontId="3" fillId="3" borderId="5" xfId="0" applyFont="1" applyFill="1" applyBorder="1" applyAlignment="1">
      <alignment horizontal="center" wrapText="1"/>
    </xf>
    <xf numFmtId="0" fontId="3" fillId="3" borderId="6" xfId="0" applyFont="1" applyFill="1" applyBorder="1" applyAlignment="1">
      <alignment horizontal="center" wrapText="1"/>
    </xf>
    <xf numFmtId="0" fontId="3" fillId="3" borderId="8" xfId="0" applyFont="1" applyFill="1" applyBorder="1" applyAlignment="1">
      <alignment horizontal="center" wrapText="1"/>
    </xf>
    <xf numFmtId="0" fontId="3" fillId="3" borderId="15" xfId="0" applyFont="1" applyFill="1" applyBorder="1" applyAlignment="1">
      <alignment horizontal="center" wrapText="1"/>
    </xf>
    <xf numFmtId="0" fontId="24" fillId="0" borderId="10" xfId="0" applyFont="1" applyBorder="1" applyAlignment="1">
      <alignment horizontal="center"/>
    </xf>
    <xf numFmtId="0" fontId="25" fillId="0" borderId="12" xfId="0" applyFont="1" applyBorder="1"/>
    <xf numFmtId="0" fontId="24" fillId="0" borderId="2" xfId="0" applyFont="1" applyBorder="1" applyAlignment="1">
      <alignment horizontal="center"/>
    </xf>
    <xf numFmtId="0" fontId="25" fillId="0" borderId="13" xfId="0" applyFont="1" applyBorder="1"/>
    <xf numFmtId="0" fontId="24" fillId="0" borderId="3" xfId="0" applyFont="1" applyBorder="1" applyAlignment="1">
      <alignment horizontal="center"/>
    </xf>
    <xf numFmtId="0" fontId="25" fillId="0" borderId="14" xfId="0" applyFont="1" applyBorder="1"/>
    <xf numFmtId="0" fontId="26" fillId="0" borderId="0" xfId="0" applyFont="1" applyBorder="1" applyAlignment="1">
      <alignment horizontal="center" wrapText="1"/>
    </xf>
    <xf numFmtId="0" fontId="0" fillId="3" borderId="22" xfId="0" applyFill="1" applyBorder="1" applyProtection="1">
      <protection locked="0"/>
    </xf>
    <xf numFmtId="3" fontId="0" fillId="0" borderId="11" xfId="0" applyNumberFormat="1" applyBorder="1" applyProtection="1">
      <protection locked="0"/>
    </xf>
    <xf numFmtId="3" fontId="0" fillId="0" borderId="1" xfId="0" applyNumberFormat="1" applyBorder="1" applyProtection="1">
      <protection locked="0"/>
    </xf>
    <xf numFmtId="3" fontId="0" fillId="0" borderId="4" xfId="0" applyNumberFormat="1" applyBorder="1" applyProtection="1">
      <protection locked="0"/>
    </xf>
    <xf numFmtId="0" fontId="26" fillId="0" borderId="0" xfId="0" applyFont="1" applyBorder="1" applyAlignment="1">
      <alignment wrapText="1"/>
    </xf>
    <xf numFmtId="0" fontId="3" fillId="0" borderId="23" xfId="0" applyFont="1" applyBorder="1" applyAlignment="1">
      <alignment wrapText="1"/>
    </xf>
    <xf numFmtId="0" fontId="0" fillId="0" borderId="0" xfId="0" applyBorder="1"/>
    <xf numFmtId="0" fontId="3" fillId="3" borderId="24" xfId="0" applyFont="1" applyFill="1" applyBorder="1" applyAlignment="1">
      <alignment horizontal="center" wrapText="1"/>
    </xf>
    <xf numFmtId="0" fontId="0" fillId="4" borderId="25" xfId="0" applyFill="1" applyBorder="1"/>
    <xf numFmtId="0" fontId="0" fillId="0" borderId="26" xfId="0" applyBorder="1"/>
    <xf numFmtId="0" fontId="3" fillId="3" borderId="7" xfId="0" applyFont="1" applyFill="1" applyBorder="1" applyAlignment="1">
      <alignment horizontal="center" wrapText="1"/>
    </xf>
    <xf numFmtId="0" fontId="3" fillId="3" borderId="20" xfId="0" applyFont="1" applyFill="1" applyBorder="1" applyAlignment="1">
      <alignment horizontal="center" wrapText="1"/>
    </xf>
    <xf numFmtId="0" fontId="3" fillId="4" borderId="7" xfId="0" applyFont="1" applyFill="1" applyBorder="1" applyAlignment="1">
      <alignment horizontal="center"/>
    </xf>
    <xf numFmtId="0" fontId="0" fillId="0" borderId="27" xfId="0" applyBorder="1"/>
    <xf numFmtId="0" fontId="0" fillId="0" borderId="28" xfId="0" applyBorder="1"/>
    <xf numFmtId="0" fontId="0" fillId="0" borderId="29" xfId="0" applyBorder="1"/>
    <xf numFmtId="0" fontId="16" fillId="3" borderId="1" xfId="0" applyFont="1" applyFill="1" applyBorder="1"/>
    <xf numFmtId="11" fontId="16"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3" fontId="0" fillId="0" borderId="0" xfId="0" applyNumberFormat="1"/>
    <xf numFmtId="3" fontId="0" fillId="5" borderId="1" xfId="0" applyNumberFormat="1" applyFill="1" applyBorder="1" applyProtection="1">
      <protection locked="0"/>
    </xf>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0" borderId="1" xfId="0" applyBorder="1" applyAlignment="1">
      <alignment vertical="center"/>
    </xf>
    <xf numFmtId="0" fontId="31" fillId="0" borderId="0" xfId="0" applyFont="1"/>
    <xf numFmtId="0" fontId="15"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6"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7" fontId="1" fillId="6" borderId="1" xfId="0" applyNumberFormat="1" applyFont="1" applyFill="1" applyBorder="1" applyProtection="1">
      <protection hidden="1"/>
    </xf>
    <xf numFmtId="166" fontId="1" fillId="6" borderId="1" xfId="0" applyNumberFormat="1" applyFont="1" applyFill="1" applyBorder="1" applyProtection="1">
      <protection hidden="1"/>
    </xf>
    <xf numFmtId="0" fontId="0" fillId="6" borderId="1" xfId="0" applyFill="1" applyBorder="1" applyProtection="1">
      <protection hidden="1"/>
    </xf>
    <xf numFmtId="166" fontId="0" fillId="3" borderId="8" xfId="0" applyNumberFormat="1" applyFill="1" applyBorder="1" applyAlignment="1" applyProtection="1">
      <protection locked="0"/>
    </xf>
    <xf numFmtId="9" fontId="0" fillId="0" borderId="0" xfId="0" applyNumberFormat="1" applyFill="1" applyBorder="1" applyProtection="1">
      <protection locked="0"/>
    </xf>
    <xf numFmtId="0" fontId="20" fillId="0" borderId="30" xfId="0" applyFont="1" applyBorder="1" applyAlignment="1">
      <alignment horizontal="center" wrapText="1"/>
    </xf>
    <xf numFmtId="0" fontId="20" fillId="0" borderId="31" xfId="0" applyFont="1" applyBorder="1" applyAlignment="1">
      <alignment horizontal="center" wrapText="1"/>
    </xf>
    <xf numFmtId="0" fontId="20" fillId="0" borderId="32" xfId="0" applyFont="1" applyBorder="1" applyAlignment="1">
      <alignment horizontal="center" wrapText="1"/>
    </xf>
    <xf numFmtId="0" fontId="20" fillId="0" borderId="27" xfId="0" applyFont="1" applyBorder="1" applyAlignment="1">
      <alignment horizontal="center" wrapText="1"/>
    </xf>
    <xf numFmtId="0" fontId="20" fillId="0" borderId="0" xfId="0" applyFont="1" applyBorder="1" applyAlignment="1">
      <alignment horizontal="center" wrapText="1"/>
    </xf>
    <xf numFmtId="0" fontId="20" fillId="0" borderId="33" xfId="0" applyFont="1" applyBorder="1" applyAlignment="1">
      <alignment horizontal="center" wrapText="1"/>
    </xf>
    <xf numFmtId="0" fontId="20" fillId="0" borderId="28" xfId="0" applyFont="1" applyBorder="1" applyAlignment="1">
      <alignment horizontal="center" wrapText="1"/>
    </xf>
    <xf numFmtId="0" fontId="20" fillId="0" borderId="29" xfId="0" applyFont="1" applyBorder="1" applyAlignment="1">
      <alignment horizontal="center" wrapText="1"/>
    </xf>
    <xf numFmtId="0" fontId="20" fillId="0" borderId="34" xfId="0" applyFont="1" applyBorder="1" applyAlignment="1">
      <alignment horizontal="center" wrapText="1"/>
    </xf>
    <xf numFmtId="0" fontId="26" fillId="0" borderId="30" xfId="0" applyFont="1" applyBorder="1" applyAlignment="1">
      <alignment horizontal="center" vertical="center" wrapText="1"/>
    </xf>
    <xf numFmtId="0" fontId="26" fillId="0" borderId="31" xfId="0" applyFont="1" applyBorder="1" applyAlignment="1">
      <alignment horizontal="center" vertical="center" wrapText="1"/>
    </xf>
    <xf numFmtId="0" fontId="26" fillId="0" borderId="32" xfId="0" applyFont="1" applyBorder="1" applyAlignment="1">
      <alignment horizontal="center" vertical="center" wrapText="1"/>
    </xf>
    <xf numFmtId="0" fontId="26" fillId="0" borderId="27" xfId="0" applyFont="1" applyBorder="1" applyAlignment="1">
      <alignment horizontal="center" vertical="center" wrapText="1"/>
    </xf>
    <xf numFmtId="0" fontId="26" fillId="0" borderId="0" xfId="0" applyFont="1" applyBorder="1" applyAlignment="1">
      <alignment horizontal="center" vertical="center" wrapText="1"/>
    </xf>
    <xf numFmtId="0" fontId="26" fillId="0" borderId="33" xfId="0" applyFont="1" applyBorder="1" applyAlignment="1">
      <alignment horizontal="center" vertical="center" wrapText="1"/>
    </xf>
    <xf numFmtId="0" fontId="26" fillId="0" borderId="28" xfId="0" applyFont="1" applyBorder="1" applyAlignment="1">
      <alignment horizontal="center" vertical="center" wrapText="1"/>
    </xf>
    <xf numFmtId="0" fontId="26" fillId="0" borderId="29" xfId="0" applyFont="1" applyBorder="1" applyAlignment="1">
      <alignment horizontal="center" vertical="center" wrapText="1"/>
    </xf>
    <xf numFmtId="0" fontId="26" fillId="0" borderId="34" xfId="0" applyFont="1" applyBorder="1" applyAlignment="1">
      <alignment horizontal="center" vertical="center" wrapText="1"/>
    </xf>
    <xf numFmtId="0" fontId="27" fillId="0" borderId="30" xfId="0" applyFont="1" applyBorder="1" applyAlignment="1">
      <alignment horizontal="center" wrapText="1"/>
    </xf>
    <xf numFmtId="0" fontId="27" fillId="0" borderId="31" xfId="0" applyFont="1" applyBorder="1" applyAlignment="1">
      <alignment horizontal="center" wrapText="1"/>
    </xf>
    <xf numFmtId="0" fontId="27" fillId="0" borderId="32" xfId="0" applyFont="1" applyBorder="1" applyAlignment="1">
      <alignment horizontal="center" wrapText="1"/>
    </xf>
    <xf numFmtId="0" fontId="27" fillId="0" borderId="27" xfId="0" applyFont="1" applyBorder="1" applyAlignment="1">
      <alignment horizontal="center" wrapText="1"/>
    </xf>
    <xf numFmtId="0" fontId="27" fillId="0" borderId="0" xfId="0" applyFont="1" applyBorder="1" applyAlignment="1">
      <alignment horizontal="center" wrapText="1"/>
    </xf>
    <xf numFmtId="0" fontId="27" fillId="0" borderId="33" xfId="0" applyFont="1" applyBorder="1" applyAlignment="1">
      <alignment horizontal="center" wrapText="1"/>
    </xf>
    <xf numFmtId="0" fontId="27" fillId="0" borderId="28" xfId="0" applyFont="1" applyBorder="1" applyAlignment="1">
      <alignment horizontal="center" wrapText="1"/>
    </xf>
    <xf numFmtId="0" fontId="27" fillId="0" borderId="29" xfId="0" applyFont="1" applyBorder="1" applyAlignment="1">
      <alignment horizontal="center" wrapText="1"/>
    </xf>
    <xf numFmtId="0" fontId="27" fillId="0" borderId="34" xfId="0" applyFont="1" applyBorder="1" applyAlignment="1">
      <alignment horizontal="center" wrapText="1"/>
    </xf>
  </cellXfs>
  <cellStyles count="1">
    <cellStyle name="Normal" xfId="0" builtinId="0"/>
  </cellStyles>
  <dxfs count="7">
    <dxf>
      <fill>
        <patternFill>
          <bgColor indexed="11"/>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indexed="11"/>
        </patternFill>
      </fill>
    </dxf>
    <dxf>
      <fill>
        <patternFill>
          <bgColor indexed="2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sz="1000" b="1" i="0" u="none" strike="noStrike" baseline="0">
                <a:solidFill>
                  <a:srgbClr val="000000"/>
                </a:solidFill>
                <a:latin typeface="Arial Cyr"/>
                <a:cs typeface="Arial Cyr"/>
              </a:rPr>
              <a:t>Рис. 5.1  Зависимость </a:t>
            </a:r>
            <a:r>
              <a:rPr lang="ru-RU" sz="1000" b="1" i="1" u="none" strike="noStrike" baseline="0">
                <a:solidFill>
                  <a:srgbClr val="000000"/>
                </a:solidFill>
                <a:latin typeface="Arial Cyr"/>
                <a:cs typeface="Arial Cyr"/>
              </a:rPr>
              <a:t>Колличества итераций</a:t>
            </a:r>
            <a:r>
              <a:rPr lang="ru-RU" sz="1000" b="1" i="0" u="none" strike="noStrike" baseline="0">
                <a:solidFill>
                  <a:srgbClr val="000000"/>
                </a:solidFill>
                <a:latin typeface="Arial Cyr"/>
                <a:cs typeface="Arial Cyr"/>
              </a:rPr>
              <a:t> от </a:t>
            </a:r>
            <a:r>
              <a:rPr lang="ru-RU" sz="1000" b="1" i="1" u="none" strike="noStrike" baseline="0">
                <a:solidFill>
                  <a:srgbClr val="000000"/>
                </a:solidFill>
                <a:latin typeface="Arial Cyr"/>
                <a:cs typeface="Arial Cyr"/>
              </a:rPr>
              <a:t>Допустимой погрешности</a:t>
            </a:r>
          </a:p>
        </c:rich>
      </c:tx>
      <c:layout>
        <c:manualLayout>
          <c:xMode val="edge"/>
          <c:yMode val="edge"/>
          <c:x val="0.13311236491073225"/>
          <c:y val="3.2902149212179141E-2"/>
        </c:manualLayout>
      </c:layout>
      <c:overlay val="0"/>
      <c:spPr>
        <a:noFill/>
        <a:ln w="25400">
          <a:noFill/>
        </a:ln>
      </c:spPr>
    </c:title>
    <c:autoTitleDeleted val="0"/>
    <c:plotArea>
      <c:layout>
        <c:manualLayout>
          <c:layoutTarget val="inner"/>
          <c:xMode val="edge"/>
          <c:yMode val="edge"/>
          <c:x val="0.13888912436442796"/>
          <c:y val="0.19594594594594594"/>
          <c:w val="0.83680697429567852"/>
          <c:h val="0.52027027027027029"/>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sheet5!$H$12:$H$22</c:f>
              <c:numCache>
                <c:formatCode>General</c:formatCode>
                <c:ptCount val="11"/>
                <c:pt idx="0">
                  <c:v>10</c:v>
                </c:pt>
                <c:pt idx="1">
                  <c:v>1</c:v>
                </c:pt>
                <c:pt idx="2">
                  <c:v>0.1</c:v>
                </c:pt>
                <c:pt idx="3">
                  <c:v>0.01</c:v>
                </c:pt>
                <c:pt idx="4">
                  <c:v>1E-3</c:v>
                </c:pt>
                <c:pt idx="5">
                  <c:v>1E-4</c:v>
                </c:pt>
                <c:pt idx="6">
                  <c:v>1.0000000000000001E-5</c:v>
                </c:pt>
                <c:pt idx="7">
                  <c:v>9.9999999999999995E-7</c:v>
                </c:pt>
                <c:pt idx="8">
                  <c:v>9.9999999999999995E-8</c:v>
                </c:pt>
                <c:pt idx="9">
                  <c:v>1E-8</c:v>
                </c:pt>
                <c:pt idx="10">
                  <c:v>1.0000000000000001E-9</c:v>
                </c:pt>
              </c:numCache>
            </c:numRef>
          </c:cat>
          <c:val>
            <c:numRef>
              <c:f>sheet5!$F$12:$F$22</c:f>
              <c:numCache>
                <c:formatCode>0</c:formatCode>
                <c:ptCount val="11"/>
                <c:pt idx="0">
                  <c:v>0</c:v>
                </c:pt>
                <c:pt idx="1">
                  <c:v>2001</c:v>
                </c:pt>
                <c:pt idx="2">
                  <c:v>2013</c:v>
                </c:pt>
                <c:pt idx="3">
                  <c:v>2027</c:v>
                </c:pt>
                <c:pt idx="4">
                  <c:v>2037</c:v>
                </c:pt>
                <c:pt idx="5">
                  <c:v>2052</c:v>
                </c:pt>
                <c:pt idx="6">
                  <c:v>2064</c:v>
                </c:pt>
                <c:pt idx="7">
                  <c:v>2066</c:v>
                </c:pt>
                <c:pt idx="8">
                  <c:v>2068</c:v>
                </c:pt>
                <c:pt idx="9">
                  <c:v>2075</c:v>
                </c:pt>
                <c:pt idx="10">
                  <c:v>2077</c:v>
                </c:pt>
              </c:numCache>
            </c:numRef>
          </c:val>
          <c:smooth val="0"/>
          <c:extLst xmlns:c16r2="http://schemas.microsoft.com/office/drawing/2015/06/chart">
            <c:ext xmlns:c16="http://schemas.microsoft.com/office/drawing/2014/chart" uri="{C3380CC4-5D6E-409C-BE32-E72D297353CC}">
              <c16:uniqueId val="{00000000-4B35-4471-AC5E-076EBBF8534B}"/>
            </c:ext>
          </c:extLst>
        </c:ser>
        <c:dLbls>
          <c:showLegendKey val="0"/>
          <c:showVal val="0"/>
          <c:showCatName val="0"/>
          <c:showSerName val="0"/>
          <c:showPercent val="0"/>
          <c:showBubbleSize val="0"/>
        </c:dLbls>
        <c:marker val="1"/>
        <c:smooth val="0"/>
        <c:axId val="-636190608"/>
        <c:axId val="-636189520"/>
      </c:lineChart>
      <c:catAx>
        <c:axId val="-636190608"/>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Допустимая погрешность</a:t>
                </a:r>
              </a:p>
            </c:rich>
          </c:tx>
          <c:layout>
            <c:manualLayout>
              <c:xMode val="edge"/>
              <c:yMode val="edge"/>
              <c:x val="0.40972291687506252"/>
              <c:y val="0.90202702702702697"/>
            </c:manualLayout>
          </c:layout>
          <c:overlay val="0"/>
          <c:spPr>
            <a:noFill/>
            <a:ln w="25400">
              <a:noFill/>
            </a:ln>
          </c:spPr>
        </c:title>
        <c:numFmt formatCode="0.00E+00"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636189520"/>
        <c:crosses val="autoZero"/>
        <c:auto val="1"/>
        <c:lblAlgn val="ctr"/>
        <c:lblOffset val="100"/>
        <c:tickLblSkip val="1"/>
        <c:tickMarkSkip val="1"/>
        <c:noMultiLvlLbl val="0"/>
      </c:catAx>
      <c:valAx>
        <c:axId val="-636189520"/>
        <c:scaling>
          <c:orientation val="minMax"/>
          <c:max val="70"/>
          <c:min val="10"/>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Колличество итераций</a:t>
                </a:r>
              </a:p>
            </c:rich>
          </c:tx>
          <c:layout>
            <c:manualLayout>
              <c:xMode val="edge"/>
              <c:yMode val="edge"/>
              <c:x val="6.0763991909437237E-2"/>
              <c:y val="0.19594594594594594"/>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63619060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sz="1000" b="1" i="0" u="none" strike="noStrike" baseline="0">
                <a:solidFill>
                  <a:srgbClr val="000000"/>
                </a:solidFill>
                <a:latin typeface="Arial Cyr"/>
                <a:cs typeface="Arial Cyr"/>
              </a:rPr>
              <a:t>Рис. 5.2  Зависимость </a:t>
            </a:r>
            <a:r>
              <a:rPr lang="ru-RU" sz="1000" b="1" i="1" u="none" strike="noStrike" baseline="0">
                <a:solidFill>
                  <a:srgbClr val="000000"/>
                </a:solidFill>
                <a:latin typeface="Arial Cyr"/>
                <a:cs typeface="Arial Cyr"/>
              </a:rPr>
              <a:t>Колличества итераций</a:t>
            </a:r>
            <a:r>
              <a:rPr lang="ru-RU" sz="1000" b="1" i="0" u="none" strike="noStrike" baseline="0">
                <a:solidFill>
                  <a:srgbClr val="000000"/>
                </a:solidFill>
                <a:latin typeface="Arial Cyr"/>
                <a:cs typeface="Arial Cyr"/>
              </a:rPr>
              <a:t> от </a:t>
            </a:r>
            <a:r>
              <a:rPr lang="ru-RU" sz="1000" b="1" i="1" u="none" strike="noStrike" baseline="0">
                <a:solidFill>
                  <a:srgbClr val="000000"/>
                </a:solidFill>
                <a:latin typeface="Arial Cyr"/>
                <a:cs typeface="Arial Cyr"/>
              </a:rPr>
              <a:t>Величины начального шага поиска </a:t>
            </a:r>
            <a:r>
              <a:rPr lang="en-US" sz="1000" b="1" i="1" u="none" strike="noStrike" baseline="0">
                <a:solidFill>
                  <a:srgbClr val="000000"/>
                </a:solidFill>
                <a:latin typeface="Arial Cyr"/>
                <a:cs typeface="Arial Cyr"/>
              </a:rPr>
              <a:t>h</a:t>
            </a:r>
            <a:r>
              <a:rPr lang="en-US" sz="1000" b="1" i="1" u="none" strike="noStrike" baseline="30000">
                <a:solidFill>
                  <a:srgbClr val="000000"/>
                </a:solidFill>
                <a:latin typeface="Arial Cyr"/>
                <a:cs typeface="Arial Cyr"/>
              </a:rPr>
              <a:t>0</a:t>
            </a:r>
          </a:p>
        </c:rich>
      </c:tx>
      <c:layout>
        <c:manualLayout>
          <c:xMode val="edge"/>
          <c:yMode val="edge"/>
          <c:x val="0.15277803680087076"/>
          <c:y val="3.7288197312296927E-2"/>
        </c:manualLayout>
      </c:layout>
      <c:overlay val="0"/>
      <c:spPr>
        <a:noFill/>
        <a:ln w="25400">
          <a:noFill/>
        </a:ln>
      </c:spPr>
    </c:title>
    <c:autoTitleDeleted val="0"/>
    <c:plotArea>
      <c:layout>
        <c:manualLayout>
          <c:layoutTarget val="inner"/>
          <c:xMode val="edge"/>
          <c:yMode val="edge"/>
          <c:x val="0.13888912436442796"/>
          <c:y val="0.18644098656148464"/>
          <c:w val="0.83680697429567852"/>
          <c:h val="0.6000009931160506"/>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sheet5!$G$26:$G$59</c:f>
              <c:numCache>
                <c:formatCode>General</c:formatCode>
                <c:ptCount val="34"/>
                <c:pt idx="0">
                  <c:v>1550</c:v>
                </c:pt>
                <c:pt idx="1">
                  <c:v>1550.2</c:v>
                </c:pt>
                <c:pt idx="2">
                  <c:v>1550.4</c:v>
                </c:pt>
                <c:pt idx="3">
                  <c:v>1550.6000000000001</c:v>
                </c:pt>
                <c:pt idx="4">
                  <c:v>1550.8000000000002</c:v>
                </c:pt>
                <c:pt idx="5">
                  <c:v>1551.0000000000002</c:v>
                </c:pt>
                <c:pt idx="6">
                  <c:v>1551.2000000000003</c:v>
                </c:pt>
                <c:pt idx="7">
                  <c:v>1551.4000000000003</c:v>
                </c:pt>
                <c:pt idx="8">
                  <c:v>1551.6000000000004</c:v>
                </c:pt>
                <c:pt idx="9">
                  <c:v>1551.8000000000004</c:v>
                </c:pt>
                <c:pt idx="10">
                  <c:v>1552.0000000000005</c:v>
                </c:pt>
                <c:pt idx="11">
                  <c:v>1552.2000000000005</c:v>
                </c:pt>
                <c:pt idx="12">
                  <c:v>1552.4000000000005</c:v>
                </c:pt>
                <c:pt idx="13">
                  <c:v>1552.6000000000006</c:v>
                </c:pt>
                <c:pt idx="14">
                  <c:v>1552.8000000000006</c:v>
                </c:pt>
                <c:pt idx="15">
                  <c:v>1553.0000000000007</c:v>
                </c:pt>
                <c:pt idx="16">
                  <c:v>1553.2000000000007</c:v>
                </c:pt>
                <c:pt idx="17">
                  <c:v>1553.4000000000008</c:v>
                </c:pt>
                <c:pt idx="18">
                  <c:v>1553.6000000000008</c:v>
                </c:pt>
                <c:pt idx="19">
                  <c:v>1553.8000000000009</c:v>
                </c:pt>
                <c:pt idx="20">
                  <c:v>1554.0000000000009</c:v>
                </c:pt>
                <c:pt idx="21">
                  <c:v>1554.200000000001</c:v>
                </c:pt>
                <c:pt idx="22">
                  <c:v>1554.400000000001</c:v>
                </c:pt>
                <c:pt idx="23">
                  <c:v>1554.600000000001</c:v>
                </c:pt>
                <c:pt idx="24">
                  <c:v>1554.8000000000011</c:v>
                </c:pt>
                <c:pt idx="25">
                  <c:v>1555.0000000000011</c:v>
                </c:pt>
                <c:pt idx="26">
                  <c:v>1555.2000000000012</c:v>
                </c:pt>
                <c:pt idx="27">
                  <c:v>1555.4000000000012</c:v>
                </c:pt>
                <c:pt idx="28">
                  <c:v>1555.6000000000013</c:v>
                </c:pt>
                <c:pt idx="29">
                  <c:v>1555.8000000000013</c:v>
                </c:pt>
                <c:pt idx="30">
                  <c:v>1556.0000000000014</c:v>
                </c:pt>
                <c:pt idx="31">
                  <c:v>1556.2000000000014</c:v>
                </c:pt>
                <c:pt idx="32">
                  <c:v>1556.4000000000015</c:v>
                </c:pt>
                <c:pt idx="33">
                  <c:v>1556.6000000000015</c:v>
                </c:pt>
              </c:numCache>
            </c:numRef>
          </c:cat>
          <c:val>
            <c:numRef>
              <c:f>sheet5!$F$26:$F$59</c:f>
              <c:numCache>
                <c:formatCode>0</c:formatCode>
                <c:ptCount val="34"/>
                <c:pt idx="0">
                  <c:v>2077</c:v>
                </c:pt>
                <c:pt idx="1">
                  <c:v>1732</c:v>
                </c:pt>
                <c:pt idx="2">
                  <c:v>1510</c:v>
                </c:pt>
                <c:pt idx="3">
                  <c:v>1358</c:v>
                </c:pt>
                <c:pt idx="4">
                  <c:v>1190</c:v>
                </c:pt>
                <c:pt idx="5">
                  <c:v>1067</c:v>
                </c:pt>
                <c:pt idx="6">
                  <c:v>998</c:v>
                </c:pt>
                <c:pt idx="7">
                  <c:v>914</c:v>
                </c:pt>
                <c:pt idx="8">
                  <c:v>845</c:v>
                </c:pt>
                <c:pt idx="9">
                  <c:v>792</c:v>
                </c:pt>
                <c:pt idx="10">
                  <c:v>746</c:v>
                </c:pt>
                <c:pt idx="11">
                  <c:v>698</c:v>
                </c:pt>
                <c:pt idx="12">
                  <c:v>671</c:v>
                </c:pt>
                <c:pt idx="13">
                  <c:v>638</c:v>
                </c:pt>
                <c:pt idx="14">
                  <c:v>605</c:v>
                </c:pt>
                <c:pt idx="15">
                  <c:v>561</c:v>
                </c:pt>
                <c:pt idx="16">
                  <c:v>540</c:v>
                </c:pt>
                <c:pt idx="17">
                  <c:v>521</c:v>
                </c:pt>
                <c:pt idx="18">
                  <c:v>517</c:v>
                </c:pt>
                <c:pt idx="19">
                  <c:v>481</c:v>
                </c:pt>
                <c:pt idx="20">
                  <c:v>480</c:v>
                </c:pt>
                <c:pt idx="21">
                  <c:v>460</c:v>
                </c:pt>
                <c:pt idx="22">
                  <c:v>441</c:v>
                </c:pt>
                <c:pt idx="23">
                  <c:v>437</c:v>
                </c:pt>
                <c:pt idx="24">
                  <c:v>443</c:v>
                </c:pt>
                <c:pt idx="25">
                  <c:v>401</c:v>
                </c:pt>
                <c:pt idx="26">
                  <c:v>402</c:v>
                </c:pt>
                <c:pt idx="27">
                  <c:v>403</c:v>
                </c:pt>
                <c:pt idx="28">
                  <c:v>390</c:v>
                </c:pt>
                <c:pt idx="29">
                  <c:v>345</c:v>
                </c:pt>
                <c:pt idx="30">
                  <c:v>385</c:v>
                </c:pt>
                <c:pt idx="31">
                  <c:v>351</c:v>
                </c:pt>
                <c:pt idx="32">
                  <c:v>346</c:v>
                </c:pt>
                <c:pt idx="33">
                  <c:v>327</c:v>
                </c:pt>
              </c:numCache>
            </c:numRef>
          </c:val>
          <c:smooth val="0"/>
          <c:extLst xmlns:c16r2="http://schemas.microsoft.com/office/drawing/2015/06/chart">
            <c:ext xmlns:c16="http://schemas.microsoft.com/office/drawing/2014/chart" uri="{C3380CC4-5D6E-409C-BE32-E72D297353CC}">
              <c16:uniqueId val="{00000000-DA0F-4770-88BA-2DB28B635644}"/>
            </c:ext>
          </c:extLst>
        </c:ser>
        <c:dLbls>
          <c:showLegendKey val="0"/>
          <c:showVal val="0"/>
          <c:showCatName val="0"/>
          <c:showSerName val="0"/>
          <c:showPercent val="0"/>
          <c:showBubbleSize val="0"/>
        </c:dLbls>
        <c:marker val="1"/>
        <c:smooth val="0"/>
        <c:axId val="-774175504"/>
        <c:axId val="-774174416"/>
      </c:lineChart>
      <c:catAx>
        <c:axId val="-774175504"/>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sz="1000" b="1" i="0" u="none" strike="noStrike" baseline="0">
                    <a:solidFill>
                      <a:srgbClr val="000000"/>
                    </a:solidFill>
                    <a:latin typeface="Arial Cyr"/>
                    <a:cs typeface="Arial Cyr"/>
                  </a:rPr>
                  <a:t>Величина начального шага поиска </a:t>
                </a:r>
                <a:r>
                  <a:rPr lang="en-US" sz="1000" b="1" i="0" u="none" strike="noStrike" baseline="0">
                    <a:solidFill>
                      <a:srgbClr val="000000"/>
                    </a:solidFill>
                    <a:latin typeface="Arial Cyr"/>
                    <a:cs typeface="Arial Cyr"/>
                  </a:rPr>
                  <a:t>h</a:t>
                </a:r>
                <a:r>
                  <a:rPr lang="en-US" sz="1000" b="1" i="0" u="none" strike="noStrike" baseline="30000">
                    <a:solidFill>
                      <a:srgbClr val="000000"/>
                    </a:solidFill>
                    <a:latin typeface="Arial Cyr"/>
                    <a:cs typeface="Arial Cyr"/>
                  </a:rPr>
                  <a:t>0</a:t>
                </a:r>
              </a:p>
            </c:rich>
          </c:tx>
          <c:layout>
            <c:manualLayout>
              <c:xMode val="edge"/>
              <c:yMode val="edge"/>
              <c:x val="0.33854224063829319"/>
              <c:y val="0.8813573910179274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774174416"/>
        <c:crosses val="autoZero"/>
        <c:auto val="1"/>
        <c:lblAlgn val="ctr"/>
        <c:lblOffset val="100"/>
        <c:tickLblSkip val="2"/>
        <c:tickMarkSkip val="1"/>
        <c:noMultiLvlLbl val="0"/>
      </c:catAx>
      <c:valAx>
        <c:axId val="-7741744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Колличество итераций</a:t>
                </a:r>
              </a:p>
            </c:rich>
          </c:tx>
          <c:layout>
            <c:manualLayout>
              <c:xMode val="edge"/>
              <c:yMode val="edge"/>
              <c:x val="5.0347307582105143E-2"/>
              <c:y val="0.22372918387378157"/>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774175504"/>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sz="1000" b="1" i="0" u="none" strike="noStrike" baseline="0">
                <a:solidFill>
                  <a:srgbClr val="000000"/>
                </a:solidFill>
                <a:latin typeface="Arial Cyr"/>
                <a:cs typeface="Arial Cyr"/>
              </a:rPr>
              <a:t>Рис. 5.3  Зависимость </a:t>
            </a:r>
            <a:r>
              <a:rPr lang="ru-RU" sz="1000" b="1" i="1" u="none" strike="noStrike" baseline="0">
                <a:solidFill>
                  <a:srgbClr val="000000"/>
                </a:solidFill>
                <a:latin typeface="Arial Cyr"/>
                <a:cs typeface="Arial Cyr"/>
              </a:rPr>
              <a:t>Колличества итераций</a:t>
            </a:r>
            <a:r>
              <a:rPr lang="ru-RU" sz="1000" b="1" i="0" u="none" strike="noStrike" baseline="0">
                <a:solidFill>
                  <a:srgbClr val="000000"/>
                </a:solidFill>
                <a:latin typeface="Arial Cyr"/>
                <a:cs typeface="Arial Cyr"/>
              </a:rPr>
              <a:t> от </a:t>
            </a:r>
            <a:r>
              <a:rPr lang="ru-RU" sz="1000" b="1" i="1" u="none" strike="noStrike" baseline="0">
                <a:solidFill>
                  <a:srgbClr val="000000"/>
                </a:solidFill>
                <a:latin typeface="Arial Cyr"/>
                <a:cs typeface="Arial Cyr"/>
              </a:rPr>
              <a:t>Начальной цены</a:t>
            </a:r>
          </a:p>
        </c:rich>
      </c:tx>
      <c:layout>
        <c:manualLayout>
          <c:xMode val="edge"/>
          <c:yMode val="edge"/>
          <c:x val="0.11631964165520843"/>
          <c:y val="3.5461115709205002E-2"/>
        </c:manualLayout>
      </c:layout>
      <c:overlay val="0"/>
      <c:spPr>
        <a:noFill/>
        <a:ln w="25400">
          <a:noFill/>
        </a:ln>
      </c:spPr>
    </c:title>
    <c:autoTitleDeleted val="0"/>
    <c:plotArea>
      <c:layout>
        <c:manualLayout>
          <c:layoutTarget val="inner"/>
          <c:xMode val="edge"/>
          <c:yMode val="edge"/>
          <c:x val="0.13715301030987262"/>
          <c:y val="0.20922058268430949"/>
          <c:w val="0.83854308835023383"/>
          <c:h val="0.56737785134728003"/>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sheet5!$I$86:$I$110</c:f>
              <c:numCache>
                <c:formatCode>#,##0</c:formatCode>
                <c:ptCount val="25"/>
                <c:pt idx="0">
                  <c:v>1535.0473657739624</c:v>
                </c:pt>
                <c:pt idx="1">
                  <c:v>1601.7450773293522</c:v>
                </c:pt>
                <c:pt idx="2">
                  <c:v>1668.442788884742</c:v>
                </c:pt>
                <c:pt idx="3">
                  <c:v>1735.1405004401317</c:v>
                </c:pt>
                <c:pt idx="4">
                  <c:v>1801.8382119955215</c:v>
                </c:pt>
                <c:pt idx="5">
                  <c:v>1868.5359235509113</c:v>
                </c:pt>
                <c:pt idx="6">
                  <c:v>1935.2336351063011</c:v>
                </c:pt>
                <c:pt idx="7">
                  <c:v>2001.9313466616909</c:v>
                </c:pt>
                <c:pt idx="8">
                  <c:v>2068.6290582170805</c:v>
                </c:pt>
                <c:pt idx="9">
                  <c:v>2135.32676977247</c:v>
                </c:pt>
                <c:pt idx="10">
                  <c:v>2202.0244813278596</c:v>
                </c:pt>
                <c:pt idx="11">
                  <c:v>2268.7221928832491</c:v>
                </c:pt>
                <c:pt idx="12">
                  <c:v>2335.4199044386387</c:v>
                </c:pt>
                <c:pt idx="13">
                  <c:v>2402.1176159940283</c:v>
                </c:pt>
                <c:pt idx="14">
                  <c:v>2468.8153275494178</c:v>
                </c:pt>
                <c:pt idx="15">
                  <c:v>2535.5130391048074</c:v>
                </c:pt>
                <c:pt idx="16">
                  <c:v>2602.2107506601969</c:v>
                </c:pt>
                <c:pt idx="17">
                  <c:v>2668.9084622155865</c:v>
                </c:pt>
                <c:pt idx="18">
                  <c:v>2735.6061737709761</c:v>
                </c:pt>
                <c:pt idx="19">
                  <c:v>2802.3038853263656</c:v>
                </c:pt>
                <c:pt idx="20">
                  <c:v>2869.0015968817552</c:v>
                </c:pt>
                <c:pt idx="21">
                  <c:v>2935.6993084371447</c:v>
                </c:pt>
                <c:pt idx="22">
                  <c:v>3002.3970199925343</c:v>
                </c:pt>
                <c:pt idx="23">
                  <c:v>3069.0947315479239</c:v>
                </c:pt>
                <c:pt idx="24">
                  <c:v>3135.7924431033134</c:v>
                </c:pt>
              </c:numCache>
            </c:numRef>
          </c:cat>
          <c:val>
            <c:numRef>
              <c:f>sheet5!$F$86:$F$110</c:f>
              <c:numCache>
                <c:formatCode>0</c:formatCode>
                <c:ptCount val="25"/>
                <c:pt idx="0">
                  <c:v>528</c:v>
                </c:pt>
                <c:pt idx="1">
                  <c:v>474</c:v>
                </c:pt>
                <c:pt idx="2">
                  <c:v>392</c:v>
                </c:pt>
                <c:pt idx="3">
                  <c:v>339</c:v>
                </c:pt>
                <c:pt idx="4">
                  <c:v>263</c:v>
                </c:pt>
                <c:pt idx="5">
                  <c:v>202</c:v>
                </c:pt>
                <c:pt idx="6">
                  <c:v>133</c:v>
                </c:pt>
                <c:pt idx="7">
                  <c:v>76</c:v>
                </c:pt>
                <c:pt idx="8">
                  <c:v>751</c:v>
                </c:pt>
                <c:pt idx="9">
                  <c:v>1397</c:v>
                </c:pt>
                <c:pt idx="10">
                  <c:v>2082</c:v>
                </c:pt>
                <c:pt idx="11">
                  <c:v>2741</c:v>
                </c:pt>
                <c:pt idx="12">
                  <c:v>3408</c:v>
                </c:pt>
                <c:pt idx="13">
                  <c:v>4070</c:v>
                </c:pt>
                <c:pt idx="14">
                  <c:v>4751</c:v>
                </c:pt>
                <c:pt idx="15">
                  <c:v>5419</c:v>
                </c:pt>
                <c:pt idx="16">
                  <c:v>6073</c:v>
                </c:pt>
                <c:pt idx="17">
                  <c:v>6739</c:v>
                </c:pt>
                <c:pt idx="18">
                  <c:v>7425</c:v>
                </c:pt>
                <c:pt idx="19">
                  <c:v>8100</c:v>
                </c:pt>
                <c:pt idx="20">
                  <c:v>8757</c:v>
                </c:pt>
                <c:pt idx="21">
                  <c:v>9409</c:v>
                </c:pt>
                <c:pt idx="22">
                  <c:v>10081</c:v>
                </c:pt>
                <c:pt idx="23">
                  <c:v>10752</c:v>
                </c:pt>
                <c:pt idx="24">
                  <c:v>11415</c:v>
                </c:pt>
              </c:numCache>
            </c:numRef>
          </c:val>
          <c:smooth val="0"/>
          <c:extLst xmlns:c16r2="http://schemas.microsoft.com/office/drawing/2015/06/chart">
            <c:ext xmlns:c16="http://schemas.microsoft.com/office/drawing/2014/chart" uri="{C3380CC4-5D6E-409C-BE32-E72D297353CC}">
              <c16:uniqueId val="{00000000-FA61-4900-9EF1-71DFFCCE0B16}"/>
            </c:ext>
          </c:extLst>
        </c:ser>
        <c:dLbls>
          <c:showLegendKey val="0"/>
          <c:showVal val="0"/>
          <c:showCatName val="0"/>
          <c:showSerName val="0"/>
          <c:showPercent val="0"/>
          <c:showBubbleSize val="0"/>
        </c:dLbls>
        <c:marker val="1"/>
        <c:smooth val="0"/>
        <c:axId val="-774174960"/>
        <c:axId val="-774178224"/>
      </c:lineChart>
      <c:catAx>
        <c:axId val="-774174960"/>
        <c:scaling>
          <c:orientation val="minMax"/>
        </c:scaling>
        <c:delete val="0"/>
        <c:axPos val="b"/>
        <c:title>
          <c:tx>
            <c:rich>
              <a:bodyPr/>
              <a:lstStyle/>
              <a:p>
                <a:pPr>
                  <a:defRPr sz="9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6875079472994441"/>
              <c:y val="0.8971662274428864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774178224"/>
        <c:crosses val="autoZero"/>
        <c:auto val="1"/>
        <c:lblAlgn val="ctr"/>
        <c:lblOffset val="100"/>
        <c:tickLblSkip val="1"/>
        <c:tickMarkSkip val="1"/>
        <c:noMultiLvlLbl val="0"/>
      </c:catAx>
      <c:valAx>
        <c:axId val="-774178224"/>
        <c:scaling>
          <c:orientation val="minMax"/>
          <c:max val="110"/>
          <c:min val="70"/>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Cyr"/>
                    <a:ea typeface="Arial Cyr"/>
                    <a:cs typeface="Arial Cyr"/>
                  </a:defRPr>
                </a:pPr>
                <a:r>
                  <a:rPr lang="ru-RU"/>
                  <a:t>Колличество итераций</a:t>
                </a:r>
              </a:p>
            </c:rich>
          </c:tx>
          <c:layout>
            <c:manualLayout>
              <c:xMode val="edge"/>
              <c:yMode val="edge"/>
              <c:x val="5.0347307582105143E-2"/>
              <c:y val="0.24822780996443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en-US"/>
          </a:p>
        </c:txPr>
        <c:crossAx val="-77417496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Cyr"/>
                <a:ea typeface="Arial Cyr"/>
                <a:cs typeface="Arial Cyr"/>
              </a:defRPr>
            </a:pPr>
            <a:r>
              <a:rPr lang="ru-RU" sz="1000" b="1" i="0" u="none" strike="noStrike" baseline="0">
                <a:solidFill>
                  <a:srgbClr val="000000"/>
                </a:solidFill>
                <a:latin typeface="Arial Cyr"/>
                <a:cs typeface="Arial Cyr"/>
              </a:rPr>
              <a:t>Рис. 5.4  Зависимость </a:t>
            </a:r>
            <a:r>
              <a:rPr lang="ru-RU" sz="1000" b="1" i="1" u="none" strike="noStrike" baseline="0">
                <a:solidFill>
                  <a:srgbClr val="000000"/>
                </a:solidFill>
                <a:latin typeface="Arial Cyr"/>
                <a:cs typeface="Arial Cyr"/>
              </a:rPr>
              <a:t>Колличества итераций</a:t>
            </a:r>
            <a:r>
              <a:rPr lang="ru-RU" sz="1000" b="1" i="0" u="none" strike="noStrike" baseline="0">
                <a:solidFill>
                  <a:srgbClr val="000000"/>
                </a:solidFill>
                <a:latin typeface="Arial Cyr"/>
                <a:cs typeface="Arial Cyr"/>
              </a:rPr>
              <a:t> от </a:t>
            </a:r>
            <a:r>
              <a:rPr lang="ru-RU" sz="1000" b="1" i="1" u="none" strike="noStrike" baseline="0">
                <a:solidFill>
                  <a:srgbClr val="000000"/>
                </a:solidFill>
                <a:latin typeface="Arial Cyr"/>
                <a:cs typeface="Arial Cyr"/>
              </a:rPr>
              <a:t>Параметра </a:t>
            </a:r>
            <a:r>
              <a:rPr lang="en-US" sz="1000" b="1" i="1" u="none" strike="noStrike" baseline="0">
                <a:solidFill>
                  <a:srgbClr val="000000"/>
                </a:solidFill>
                <a:latin typeface="Arial Cyr"/>
                <a:cs typeface="Arial Cyr"/>
              </a:rPr>
              <a:t>R</a:t>
            </a:r>
          </a:p>
          <a:p>
            <a:pPr>
              <a:defRPr sz="1000" b="1" i="0" u="none" strike="noStrike" baseline="0">
                <a:solidFill>
                  <a:srgbClr val="000000"/>
                </a:solidFill>
                <a:latin typeface="Arial Cyr"/>
                <a:ea typeface="Arial Cyr"/>
                <a:cs typeface="Arial Cyr"/>
              </a:defRPr>
            </a:pPr>
            <a:endParaRPr lang="en-US" sz="1000" b="1" i="1" u="none" strike="noStrike" baseline="0">
              <a:solidFill>
                <a:srgbClr val="000000"/>
              </a:solidFill>
              <a:latin typeface="Arial Cyr"/>
              <a:cs typeface="Arial Cyr"/>
            </a:endParaRPr>
          </a:p>
        </c:rich>
      </c:tx>
      <c:layout>
        <c:manualLayout>
          <c:xMode val="edge"/>
          <c:yMode val="edge"/>
          <c:x val="0.13368078220076193"/>
          <c:y val="3.7037158818519891E-2"/>
        </c:manualLayout>
      </c:layout>
      <c:overlay val="0"/>
      <c:spPr>
        <a:noFill/>
        <a:ln w="25400">
          <a:noFill/>
        </a:ln>
      </c:spPr>
    </c:title>
    <c:autoTitleDeleted val="0"/>
    <c:plotArea>
      <c:layout>
        <c:manualLayout>
          <c:layoutTarget val="inner"/>
          <c:xMode val="edge"/>
          <c:yMode val="edge"/>
          <c:x val="0.11805575570976377"/>
          <c:y val="0.19865385184478854"/>
          <c:w val="0.85764034295034275"/>
          <c:h val="0.61279662772460186"/>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sheet5!$K$124:$K$156</c:f>
              <c:numCache>
                <c:formatCode>General</c:formatCode>
                <c:ptCount val="33"/>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numCache>
            </c:numRef>
          </c:cat>
          <c:val>
            <c:numRef>
              <c:f>sheet5!$F$124:$F$156</c:f>
              <c:numCache>
                <c:formatCode>0</c:formatCode>
                <c:ptCount val="33"/>
                <c:pt idx="0">
                  <c:v>2372</c:v>
                </c:pt>
                <c:pt idx="1">
                  <c:v>2173</c:v>
                </c:pt>
                <c:pt idx="2">
                  <c:v>2109</c:v>
                </c:pt>
                <c:pt idx="3">
                  <c:v>2078</c:v>
                </c:pt>
                <c:pt idx="4">
                  <c:v>2075</c:v>
                </c:pt>
                <c:pt idx="5">
                  <c:v>2074</c:v>
                </c:pt>
                <c:pt idx="6">
                  <c:v>2069</c:v>
                </c:pt>
                <c:pt idx="7">
                  <c:v>2080</c:v>
                </c:pt>
                <c:pt idx="8">
                  <c:v>2064</c:v>
                </c:pt>
                <c:pt idx="9">
                  <c:v>2084</c:v>
                </c:pt>
                <c:pt idx="10">
                  <c:v>2069</c:v>
                </c:pt>
                <c:pt idx="11">
                  <c:v>2057</c:v>
                </c:pt>
                <c:pt idx="12">
                  <c:v>2065</c:v>
                </c:pt>
                <c:pt idx="13">
                  <c:v>2063</c:v>
                </c:pt>
                <c:pt idx="14">
                  <c:v>2082</c:v>
                </c:pt>
                <c:pt idx="15">
                  <c:v>2068</c:v>
                </c:pt>
                <c:pt idx="16">
                  <c:v>2077</c:v>
                </c:pt>
                <c:pt idx="17">
                  <c:v>2078</c:v>
                </c:pt>
                <c:pt idx="18">
                  <c:v>2077</c:v>
                </c:pt>
                <c:pt idx="19">
                  <c:v>2063</c:v>
                </c:pt>
                <c:pt idx="20">
                  <c:v>2079</c:v>
                </c:pt>
                <c:pt idx="21">
                  <c:v>2094</c:v>
                </c:pt>
                <c:pt idx="22">
                  <c:v>2076</c:v>
                </c:pt>
                <c:pt idx="23">
                  <c:v>2057</c:v>
                </c:pt>
                <c:pt idx="24">
                  <c:v>2075</c:v>
                </c:pt>
                <c:pt idx="25">
                  <c:v>2080</c:v>
                </c:pt>
                <c:pt idx="26">
                  <c:v>2075</c:v>
                </c:pt>
                <c:pt idx="27">
                  <c:v>2065</c:v>
                </c:pt>
                <c:pt idx="28">
                  <c:v>2091</c:v>
                </c:pt>
                <c:pt idx="29">
                  <c:v>2088</c:v>
                </c:pt>
                <c:pt idx="30">
                  <c:v>2071</c:v>
                </c:pt>
                <c:pt idx="31">
                  <c:v>2095</c:v>
                </c:pt>
                <c:pt idx="32">
                  <c:v>2064</c:v>
                </c:pt>
              </c:numCache>
            </c:numRef>
          </c:val>
          <c:smooth val="0"/>
          <c:extLst xmlns:c16r2="http://schemas.microsoft.com/office/drawing/2015/06/chart">
            <c:ext xmlns:c16="http://schemas.microsoft.com/office/drawing/2014/chart" uri="{C3380CC4-5D6E-409C-BE32-E72D297353CC}">
              <c16:uniqueId val="{00000000-00AD-4398-BCB6-20B9C85C560E}"/>
            </c:ext>
          </c:extLst>
        </c:ser>
        <c:dLbls>
          <c:showLegendKey val="0"/>
          <c:showVal val="0"/>
          <c:showCatName val="0"/>
          <c:showSerName val="0"/>
          <c:showPercent val="0"/>
          <c:showBubbleSize val="0"/>
        </c:dLbls>
        <c:marker val="1"/>
        <c:smooth val="0"/>
        <c:axId val="-774177136"/>
        <c:axId val="-774173872"/>
      </c:lineChart>
      <c:catAx>
        <c:axId val="-774177136"/>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Параметр </a:t>
                </a:r>
                <a:r>
                  <a:rPr lang="en-US"/>
                  <a:t>R</a:t>
                </a:r>
              </a:p>
            </c:rich>
          </c:tx>
          <c:layout>
            <c:manualLayout>
              <c:xMode val="edge"/>
              <c:yMode val="edge"/>
              <c:x val="0.47743136500272115"/>
              <c:y val="0.89562584052057204"/>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5400000" vert="horz"/>
          <a:lstStyle/>
          <a:p>
            <a:pPr>
              <a:defRPr sz="825" b="0" i="0" u="none" strike="noStrike" baseline="0">
                <a:solidFill>
                  <a:srgbClr val="000000"/>
                </a:solidFill>
                <a:latin typeface="Arial Cyr"/>
                <a:ea typeface="Arial Cyr"/>
                <a:cs typeface="Arial Cyr"/>
              </a:defRPr>
            </a:pPr>
            <a:endParaRPr lang="en-US"/>
          </a:p>
        </c:txPr>
        <c:crossAx val="-774173872"/>
        <c:crosses val="autoZero"/>
        <c:auto val="1"/>
        <c:lblAlgn val="ctr"/>
        <c:lblOffset val="100"/>
        <c:tickLblSkip val="2"/>
        <c:tickMarkSkip val="1"/>
        <c:noMultiLvlLbl val="0"/>
      </c:catAx>
      <c:valAx>
        <c:axId val="-7741738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Колличество итераций</a:t>
                </a:r>
              </a:p>
            </c:rich>
          </c:tx>
          <c:layout>
            <c:manualLayout>
              <c:xMode val="edge"/>
              <c:yMode val="edge"/>
              <c:x val="2.9513938927440943E-2"/>
              <c:y val="0.2457920539774502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Cyr"/>
                <a:ea typeface="Arial Cyr"/>
                <a:cs typeface="Arial Cyr"/>
              </a:defRPr>
            </a:pPr>
            <a:endParaRPr lang="en-US"/>
          </a:p>
        </c:txPr>
        <c:crossAx val="-774177136"/>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5.1 Зависимость Колличества итераций от Допустимой погрешности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153874673120848"/>
          <c:y val="0.2322829581993569"/>
          <c:w val="0.81775950177452605"/>
          <c:h val="0.56947953853035249"/>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sheet5!$H$13:$H$22</c:f>
              <c:numCache>
                <c:formatCode>General</c:formatCode>
                <c:ptCount val="10"/>
                <c:pt idx="0">
                  <c:v>1</c:v>
                </c:pt>
                <c:pt idx="1">
                  <c:v>0.1</c:v>
                </c:pt>
                <c:pt idx="2">
                  <c:v>0.01</c:v>
                </c:pt>
                <c:pt idx="3">
                  <c:v>1E-3</c:v>
                </c:pt>
                <c:pt idx="4">
                  <c:v>1E-4</c:v>
                </c:pt>
                <c:pt idx="5">
                  <c:v>1.0000000000000001E-5</c:v>
                </c:pt>
                <c:pt idx="6">
                  <c:v>9.9999999999999995E-7</c:v>
                </c:pt>
                <c:pt idx="7">
                  <c:v>9.9999999999999995E-8</c:v>
                </c:pt>
                <c:pt idx="8">
                  <c:v>1E-8</c:v>
                </c:pt>
                <c:pt idx="9">
                  <c:v>1.0000000000000001E-9</c:v>
                </c:pt>
              </c:numCache>
            </c:numRef>
          </c:cat>
          <c:val>
            <c:numRef>
              <c:f>sheet5!$F$13:$F$22</c:f>
              <c:numCache>
                <c:formatCode>0</c:formatCode>
                <c:ptCount val="10"/>
                <c:pt idx="0">
                  <c:v>2001</c:v>
                </c:pt>
                <c:pt idx="1">
                  <c:v>2013</c:v>
                </c:pt>
                <c:pt idx="2">
                  <c:v>2027</c:v>
                </c:pt>
                <c:pt idx="3">
                  <c:v>2037</c:v>
                </c:pt>
                <c:pt idx="4">
                  <c:v>2052</c:v>
                </c:pt>
                <c:pt idx="5">
                  <c:v>2064</c:v>
                </c:pt>
                <c:pt idx="6">
                  <c:v>2066</c:v>
                </c:pt>
                <c:pt idx="7">
                  <c:v>2068</c:v>
                </c:pt>
                <c:pt idx="8">
                  <c:v>2075</c:v>
                </c:pt>
                <c:pt idx="9">
                  <c:v>2077</c:v>
                </c:pt>
              </c:numCache>
            </c:numRef>
          </c:val>
          <c:smooth val="0"/>
          <c:extLst xmlns:c16r2="http://schemas.microsoft.com/office/drawing/2015/06/chart">
            <c:ext xmlns:c16="http://schemas.microsoft.com/office/drawing/2014/chart" uri="{C3380CC4-5D6E-409C-BE32-E72D297353CC}">
              <c16:uniqueId val="{00000000-5DC1-4500-82E5-637A8EC922BD}"/>
            </c:ext>
          </c:extLst>
        </c:ser>
        <c:dLbls>
          <c:showLegendKey val="0"/>
          <c:showVal val="0"/>
          <c:showCatName val="0"/>
          <c:showSerName val="0"/>
          <c:showPercent val="0"/>
          <c:showBubbleSize val="0"/>
        </c:dLbls>
        <c:marker val="1"/>
        <c:smooth val="0"/>
        <c:axId val="-774172784"/>
        <c:axId val="-774178768"/>
      </c:lineChart>
      <c:catAx>
        <c:axId val="-774172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Допустимая погрешность</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178768"/>
        <c:crosses val="autoZero"/>
        <c:auto val="1"/>
        <c:lblAlgn val="ctr"/>
        <c:lblOffset val="100"/>
        <c:noMultiLvlLbl val="0"/>
      </c:catAx>
      <c:valAx>
        <c:axId val="-774178768"/>
        <c:scaling>
          <c:orientation val="minMax"/>
          <c:max val="2080"/>
          <c:min val="199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a:t>
                </a:r>
                <a:r>
                  <a:rPr lang="ru-RU" baseline="0"/>
                  <a:t>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17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ru-RU"/>
              <a:t>Рис.</a:t>
            </a:r>
            <a:r>
              <a:rPr lang="ru-RU" baseline="0"/>
              <a:t> 5.2 Зависимость Колличества итераций от Величины начального шага поиска </a:t>
            </a:r>
            <a:r>
              <a:rPr lang="en-US" baseline="0"/>
              <a:t>h</a:t>
            </a:r>
            <a:r>
              <a:rPr lang="en-US" sz="1400" b="1" i="1" baseline="30000">
                <a:effectLst/>
              </a:rPr>
              <a:t>0</a:t>
            </a:r>
            <a:endParaRPr lang="en-US" sz="1100">
              <a:effectLst/>
            </a:endParaRPr>
          </a:p>
          <a:p>
            <a:pPr marL="0" marR="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sheet5!$G$26:$G$59</c:f>
              <c:numCache>
                <c:formatCode>General</c:formatCode>
                <c:ptCount val="34"/>
                <c:pt idx="0">
                  <c:v>1550</c:v>
                </c:pt>
                <c:pt idx="1">
                  <c:v>1550.2</c:v>
                </c:pt>
                <c:pt idx="2">
                  <c:v>1550.4</c:v>
                </c:pt>
                <c:pt idx="3">
                  <c:v>1550.6000000000001</c:v>
                </c:pt>
                <c:pt idx="4">
                  <c:v>1550.8000000000002</c:v>
                </c:pt>
                <c:pt idx="5">
                  <c:v>1551.0000000000002</c:v>
                </c:pt>
                <c:pt idx="6">
                  <c:v>1551.2000000000003</c:v>
                </c:pt>
                <c:pt idx="7">
                  <c:v>1551.4000000000003</c:v>
                </c:pt>
                <c:pt idx="8">
                  <c:v>1551.6000000000004</c:v>
                </c:pt>
                <c:pt idx="9">
                  <c:v>1551.8000000000004</c:v>
                </c:pt>
                <c:pt idx="10">
                  <c:v>1552.0000000000005</c:v>
                </c:pt>
                <c:pt idx="11">
                  <c:v>1552.2000000000005</c:v>
                </c:pt>
                <c:pt idx="12">
                  <c:v>1552.4000000000005</c:v>
                </c:pt>
                <c:pt idx="13">
                  <c:v>1552.6000000000006</c:v>
                </c:pt>
                <c:pt idx="14">
                  <c:v>1552.8000000000006</c:v>
                </c:pt>
                <c:pt idx="15">
                  <c:v>1553.0000000000007</c:v>
                </c:pt>
                <c:pt idx="16">
                  <c:v>1553.2000000000007</c:v>
                </c:pt>
                <c:pt idx="17">
                  <c:v>1553.4000000000008</c:v>
                </c:pt>
                <c:pt idx="18">
                  <c:v>1553.6000000000008</c:v>
                </c:pt>
                <c:pt idx="19">
                  <c:v>1553.8000000000009</c:v>
                </c:pt>
                <c:pt idx="20">
                  <c:v>1554.0000000000009</c:v>
                </c:pt>
                <c:pt idx="21">
                  <c:v>1554.200000000001</c:v>
                </c:pt>
                <c:pt idx="22">
                  <c:v>1554.400000000001</c:v>
                </c:pt>
                <c:pt idx="23">
                  <c:v>1554.600000000001</c:v>
                </c:pt>
                <c:pt idx="24">
                  <c:v>1554.8000000000011</c:v>
                </c:pt>
                <c:pt idx="25">
                  <c:v>1555.0000000000011</c:v>
                </c:pt>
                <c:pt idx="26">
                  <c:v>1555.2000000000012</c:v>
                </c:pt>
                <c:pt idx="27">
                  <c:v>1555.4000000000012</c:v>
                </c:pt>
                <c:pt idx="28">
                  <c:v>1555.6000000000013</c:v>
                </c:pt>
                <c:pt idx="29">
                  <c:v>1555.8000000000013</c:v>
                </c:pt>
                <c:pt idx="30">
                  <c:v>1556.0000000000014</c:v>
                </c:pt>
                <c:pt idx="31">
                  <c:v>1556.2000000000014</c:v>
                </c:pt>
                <c:pt idx="32">
                  <c:v>1556.4000000000015</c:v>
                </c:pt>
                <c:pt idx="33">
                  <c:v>1556.6000000000015</c:v>
                </c:pt>
              </c:numCache>
            </c:numRef>
          </c:cat>
          <c:val>
            <c:numRef>
              <c:f>sheet5!$F$26:$F$59</c:f>
              <c:numCache>
                <c:formatCode>0</c:formatCode>
                <c:ptCount val="34"/>
                <c:pt idx="0">
                  <c:v>2077</c:v>
                </c:pt>
                <c:pt idx="1">
                  <c:v>1732</c:v>
                </c:pt>
                <c:pt idx="2">
                  <c:v>1510</c:v>
                </c:pt>
                <c:pt idx="3">
                  <c:v>1358</c:v>
                </c:pt>
                <c:pt idx="4">
                  <c:v>1190</c:v>
                </c:pt>
                <c:pt idx="5">
                  <c:v>1067</c:v>
                </c:pt>
                <c:pt idx="6">
                  <c:v>998</c:v>
                </c:pt>
                <c:pt idx="7">
                  <c:v>914</c:v>
                </c:pt>
                <c:pt idx="8">
                  <c:v>845</c:v>
                </c:pt>
                <c:pt idx="9">
                  <c:v>792</c:v>
                </c:pt>
                <c:pt idx="10">
                  <c:v>746</c:v>
                </c:pt>
                <c:pt idx="11">
                  <c:v>698</c:v>
                </c:pt>
                <c:pt idx="12">
                  <c:v>671</c:v>
                </c:pt>
                <c:pt idx="13">
                  <c:v>638</c:v>
                </c:pt>
                <c:pt idx="14">
                  <c:v>605</c:v>
                </c:pt>
                <c:pt idx="15">
                  <c:v>561</c:v>
                </c:pt>
                <c:pt idx="16">
                  <c:v>540</c:v>
                </c:pt>
                <c:pt idx="17">
                  <c:v>521</c:v>
                </c:pt>
                <c:pt idx="18">
                  <c:v>517</c:v>
                </c:pt>
                <c:pt idx="19">
                  <c:v>481</c:v>
                </c:pt>
                <c:pt idx="20">
                  <c:v>480</c:v>
                </c:pt>
                <c:pt idx="21">
                  <c:v>460</c:v>
                </c:pt>
                <c:pt idx="22">
                  <c:v>441</c:v>
                </c:pt>
                <c:pt idx="23">
                  <c:v>437</c:v>
                </c:pt>
                <c:pt idx="24">
                  <c:v>443</c:v>
                </c:pt>
                <c:pt idx="25">
                  <c:v>401</c:v>
                </c:pt>
                <c:pt idx="26">
                  <c:v>402</c:v>
                </c:pt>
                <c:pt idx="27">
                  <c:v>403</c:v>
                </c:pt>
                <c:pt idx="28">
                  <c:v>390</c:v>
                </c:pt>
                <c:pt idx="29">
                  <c:v>345</c:v>
                </c:pt>
                <c:pt idx="30">
                  <c:v>385</c:v>
                </c:pt>
                <c:pt idx="31">
                  <c:v>351</c:v>
                </c:pt>
                <c:pt idx="32">
                  <c:v>346</c:v>
                </c:pt>
                <c:pt idx="33">
                  <c:v>327</c:v>
                </c:pt>
              </c:numCache>
            </c:numRef>
          </c:val>
          <c:smooth val="0"/>
          <c:extLst xmlns:c16r2="http://schemas.microsoft.com/office/drawing/2015/06/chart">
            <c:ext xmlns:c16="http://schemas.microsoft.com/office/drawing/2014/chart" uri="{C3380CC4-5D6E-409C-BE32-E72D297353CC}">
              <c16:uniqueId val="{00000000-4EED-425F-840D-2BFD81EB0F3B}"/>
            </c:ext>
          </c:extLst>
        </c:ser>
        <c:dLbls>
          <c:showLegendKey val="0"/>
          <c:showVal val="0"/>
          <c:showCatName val="0"/>
          <c:showSerName val="0"/>
          <c:showPercent val="0"/>
          <c:showBubbleSize val="0"/>
        </c:dLbls>
        <c:marker val="1"/>
        <c:smooth val="0"/>
        <c:axId val="-642268256"/>
        <c:axId val="-642267168"/>
      </c:lineChart>
      <c:catAx>
        <c:axId val="-642268256"/>
        <c:scaling>
          <c:orientation val="minMax"/>
        </c:scaling>
        <c:delete val="0"/>
        <c:axPos val="b"/>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ru-RU"/>
                  <a:t>Величина начального</a:t>
                </a:r>
                <a:r>
                  <a:rPr lang="ru-RU" baseline="0"/>
                  <a:t> шага поиска </a:t>
                </a:r>
                <a:r>
                  <a:rPr lang="en-US" sz="1050" b="0" i="0" baseline="0">
                    <a:effectLst/>
                  </a:rPr>
                  <a:t>h</a:t>
                </a:r>
                <a:r>
                  <a:rPr lang="en-US" sz="1050" b="1" i="1" baseline="30000">
                    <a:effectLst/>
                  </a:rPr>
                  <a:t>0</a:t>
                </a:r>
                <a:endParaRPr lang="en-US" sz="5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67168"/>
        <c:crosses val="autoZero"/>
        <c:auto val="1"/>
        <c:lblAlgn val="ctr"/>
        <c:lblOffset val="100"/>
        <c:noMultiLvlLbl val="0"/>
      </c:catAx>
      <c:valAx>
        <c:axId val="-642267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a:t>
                </a:r>
                <a:r>
                  <a:rPr lang="ru-RU" baseline="0"/>
                  <a:t> иттераций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68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5.3 Зависимость Колличества итераций от Начальной цены</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sheet5!$I$63:$I$120</c:f>
              <c:numCache>
                <c:formatCode>#,##0</c:formatCode>
                <c:ptCount val="58"/>
                <c:pt idx="0">
                  <c:v>0.99999999999772626</c:v>
                </c:pt>
                <c:pt idx="1">
                  <c:v>67.697711555387457</c:v>
                </c:pt>
                <c:pt idx="2">
                  <c:v>134.39542311077719</c:v>
                </c:pt>
                <c:pt idx="3">
                  <c:v>201.09313466616692</c:v>
                </c:pt>
                <c:pt idx="4">
                  <c:v>267.79084622155665</c:v>
                </c:pt>
                <c:pt idx="5">
                  <c:v>334.48855777694638</c:v>
                </c:pt>
                <c:pt idx="6">
                  <c:v>401.18626933233611</c:v>
                </c:pt>
                <c:pt idx="7">
                  <c:v>467.88398088772584</c:v>
                </c:pt>
                <c:pt idx="8">
                  <c:v>534.58169244311557</c:v>
                </c:pt>
                <c:pt idx="9">
                  <c:v>601.27940399850536</c:v>
                </c:pt>
                <c:pt idx="10">
                  <c:v>667.97711555389515</c:v>
                </c:pt>
                <c:pt idx="11">
                  <c:v>734.67482710928493</c:v>
                </c:pt>
                <c:pt idx="12">
                  <c:v>801.37253866467472</c:v>
                </c:pt>
                <c:pt idx="13">
                  <c:v>868.07025022006451</c:v>
                </c:pt>
                <c:pt idx="14">
                  <c:v>934.7679617754543</c:v>
                </c:pt>
                <c:pt idx="15">
                  <c:v>1001.4656733308441</c:v>
                </c:pt>
                <c:pt idx="16">
                  <c:v>1068.1633848862339</c:v>
                </c:pt>
                <c:pt idx="17">
                  <c:v>1134.8610964416237</c:v>
                </c:pt>
                <c:pt idx="18">
                  <c:v>1201.5588079970134</c:v>
                </c:pt>
                <c:pt idx="19">
                  <c:v>1268.2565195524032</c:v>
                </c:pt>
                <c:pt idx="20">
                  <c:v>1334.954231107793</c:v>
                </c:pt>
                <c:pt idx="21">
                  <c:v>1401.6519426631828</c:v>
                </c:pt>
                <c:pt idx="22">
                  <c:v>1468.3496542185726</c:v>
                </c:pt>
                <c:pt idx="23">
                  <c:v>1535.0473657739624</c:v>
                </c:pt>
                <c:pt idx="24">
                  <c:v>1601.7450773293522</c:v>
                </c:pt>
                <c:pt idx="25">
                  <c:v>1668.442788884742</c:v>
                </c:pt>
                <c:pt idx="26">
                  <c:v>1735.1405004401317</c:v>
                </c:pt>
                <c:pt idx="27">
                  <c:v>1801.8382119955215</c:v>
                </c:pt>
                <c:pt idx="28">
                  <c:v>1868.5359235509113</c:v>
                </c:pt>
                <c:pt idx="29">
                  <c:v>1935.2336351063011</c:v>
                </c:pt>
                <c:pt idx="30">
                  <c:v>2001.9313466616909</c:v>
                </c:pt>
                <c:pt idx="31">
                  <c:v>2068.6290582170805</c:v>
                </c:pt>
                <c:pt idx="32">
                  <c:v>2135.32676977247</c:v>
                </c:pt>
                <c:pt idx="33">
                  <c:v>2202.0244813278596</c:v>
                </c:pt>
                <c:pt idx="34">
                  <c:v>2268.7221928832491</c:v>
                </c:pt>
                <c:pt idx="35">
                  <c:v>2335.4199044386387</c:v>
                </c:pt>
                <c:pt idx="36">
                  <c:v>2402.1176159940283</c:v>
                </c:pt>
                <c:pt idx="37">
                  <c:v>2468.8153275494178</c:v>
                </c:pt>
                <c:pt idx="38">
                  <c:v>2535.5130391048074</c:v>
                </c:pt>
                <c:pt idx="39">
                  <c:v>2602.2107506601969</c:v>
                </c:pt>
                <c:pt idx="40">
                  <c:v>2668.9084622155865</c:v>
                </c:pt>
                <c:pt idx="41">
                  <c:v>2735.6061737709761</c:v>
                </c:pt>
                <c:pt idx="42">
                  <c:v>2802.3038853263656</c:v>
                </c:pt>
                <c:pt idx="43">
                  <c:v>2869.0015968817552</c:v>
                </c:pt>
                <c:pt idx="44">
                  <c:v>2935.6993084371447</c:v>
                </c:pt>
                <c:pt idx="45">
                  <c:v>3002.3970199925343</c:v>
                </c:pt>
                <c:pt idx="46">
                  <c:v>3069.0947315479239</c:v>
                </c:pt>
                <c:pt idx="47">
                  <c:v>3135.7924431033134</c:v>
                </c:pt>
                <c:pt idx="48">
                  <c:v>3202.490154658703</c:v>
                </c:pt>
                <c:pt idx="49">
                  <c:v>3269.1878662140925</c:v>
                </c:pt>
                <c:pt idx="50">
                  <c:v>3335.8855777694821</c:v>
                </c:pt>
                <c:pt idx="51">
                  <c:v>3402.5832893248717</c:v>
                </c:pt>
                <c:pt idx="52">
                  <c:v>3469.2810008802612</c:v>
                </c:pt>
                <c:pt idx="53">
                  <c:v>3535.9787124356508</c:v>
                </c:pt>
                <c:pt idx="54">
                  <c:v>3602.6764239910403</c:v>
                </c:pt>
                <c:pt idx="55">
                  <c:v>3669.3741355464299</c:v>
                </c:pt>
                <c:pt idx="56">
                  <c:v>3736.0718471018195</c:v>
                </c:pt>
                <c:pt idx="57">
                  <c:v>3802.769558657209</c:v>
                </c:pt>
              </c:numCache>
            </c:numRef>
          </c:cat>
          <c:val>
            <c:numRef>
              <c:f>sheet5!$F$63:$F$120</c:f>
              <c:numCache>
                <c:formatCode>0</c:formatCode>
                <c:ptCount val="58"/>
                <c:pt idx="0">
                  <c:v>2077</c:v>
                </c:pt>
                <c:pt idx="1">
                  <c:v>1998</c:v>
                </c:pt>
                <c:pt idx="2">
                  <c:v>1943</c:v>
                </c:pt>
                <c:pt idx="3">
                  <c:v>1872</c:v>
                </c:pt>
                <c:pt idx="4">
                  <c:v>1795</c:v>
                </c:pt>
                <c:pt idx="5">
                  <c:v>1728</c:v>
                </c:pt>
                <c:pt idx="6">
                  <c:v>1689</c:v>
                </c:pt>
                <c:pt idx="7">
                  <c:v>1615</c:v>
                </c:pt>
                <c:pt idx="8">
                  <c:v>1527</c:v>
                </c:pt>
                <c:pt idx="9">
                  <c:v>1466</c:v>
                </c:pt>
                <c:pt idx="10">
                  <c:v>1391</c:v>
                </c:pt>
                <c:pt idx="11">
                  <c:v>1320</c:v>
                </c:pt>
                <c:pt idx="12">
                  <c:v>1259</c:v>
                </c:pt>
                <c:pt idx="13">
                  <c:v>1196</c:v>
                </c:pt>
                <c:pt idx="14">
                  <c:v>1124</c:v>
                </c:pt>
                <c:pt idx="15">
                  <c:v>1058</c:v>
                </c:pt>
                <c:pt idx="16">
                  <c:v>1007</c:v>
                </c:pt>
                <c:pt idx="17">
                  <c:v>924</c:v>
                </c:pt>
                <c:pt idx="18">
                  <c:v>852</c:v>
                </c:pt>
                <c:pt idx="19">
                  <c:v>785</c:v>
                </c:pt>
                <c:pt idx="20">
                  <c:v>738</c:v>
                </c:pt>
                <c:pt idx="21">
                  <c:v>671</c:v>
                </c:pt>
                <c:pt idx="22">
                  <c:v>597</c:v>
                </c:pt>
                <c:pt idx="23">
                  <c:v>528</c:v>
                </c:pt>
                <c:pt idx="24">
                  <c:v>474</c:v>
                </c:pt>
                <c:pt idx="25">
                  <c:v>392</c:v>
                </c:pt>
                <c:pt idx="26">
                  <c:v>339</c:v>
                </c:pt>
                <c:pt idx="27">
                  <c:v>263</c:v>
                </c:pt>
                <c:pt idx="28">
                  <c:v>202</c:v>
                </c:pt>
                <c:pt idx="29">
                  <c:v>133</c:v>
                </c:pt>
                <c:pt idx="30">
                  <c:v>76</c:v>
                </c:pt>
                <c:pt idx="31">
                  <c:v>751</c:v>
                </c:pt>
                <c:pt idx="32">
                  <c:v>1397</c:v>
                </c:pt>
                <c:pt idx="33">
                  <c:v>2082</c:v>
                </c:pt>
                <c:pt idx="34">
                  <c:v>2741</c:v>
                </c:pt>
                <c:pt idx="35">
                  <c:v>3408</c:v>
                </c:pt>
                <c:pt idx="36">
                  <c:v>4070</c:v>
                </c:pt>
                <c:pt idx="37">
                  <c:v>4751</c:v>
                </c:pt>
                <c:pt idx="38">
                  <c:v>5419</c:v>
                </c:pt>
                <c:pt idx="39">
                  <c:v>6073</c:v>
                </c:pt>
                <c:pt idx="40">
                  <c:v>6739</c:v>
                </c:pt>
                <c:pt idx="41">
                  <c:v>7425</c:v>
                </c:pt>
                <c:pt idx="42">
                  <c:v>8100</c:v>
                </c:pt>
                <c:pt idx="43">
                  <c:v>8757</c:v>
                </c:pt>
                <c:pt idx="44">
                  <c:v>9409</c:v>
                </c:pt>
                <c:pt idx="45">
                  <c:v>10081</c:v>
                </c:pt>
                <c:pt idx="46">
                  <c:v>10752</c:v>
                </c:pt>
                <c:pt idx="47">
                  <c:v>11415</c:v>
                </c:pt>
                <c:pt idx="48">
                  <c:v>12086</c:v>
                </c:pt>
                <c:pt idx="49">
                  <c:v>12761</c:v>
                </c:pt>
                <c:pt idx="50">
                  <c:v>13428</c:v>
                </c:pt>
                <c:pt idx="51">
                  <c:v>14100</c:v>
                </c:pt>
                <c:pt idx="52">
                  <c:v>14742</c:v>
                </c:pt>
                <c:pt idx="53">
                  <c:v>15400</c:v>
                </c:pt>
                <c:pt idx="54">
                  <c:v>16064</c:v>
                </c:pt>
                <c:pt idx="55">
                  <c:v>16752</c:v>
                </c:pt>
                <c:pt idx="56">
                  <c:v>17422</c:v>
                </c:pt>
                <c:pt idx="57">
                  <c:v>18070</c:v>
                </c:pt>
              </c:numCache>
            </c:numRef>
          </c:val>
          <c:smooth val="0"/>
          <c:extLst xmlns:c16r2="http://schemas.microsoft.com/office/drawing/2015/06/chart">
            <c:ext xmlns:c16="http://schemas.microsoft.com/office/drawing/2014/chart" uri="{C3380CC4-5D6E-409C-BE32-E72D297353CC}">
              <c16:uniqueId val="{00000000-E1B9-4702-8731-B6DC78CDB2F9}"/>
            </c:ext>
          </c:extLst>
        </c:ser>
        <c:dLbls>
          <c:showLegendKey val="0"/>
          <c:showVal val="0"/>
          <c:showCatName val="0"/>
          <c:showSerName val="0"/>
          <c:showPercent val="0"/>
          <c:showBubbleSize val="0"/>
        </c:dLbls>
        <c:marker val="1"/>
        <c:smooth val="0"/>
        <c:axId val="-642267712"/>
        <c:axId val="-642272608"/>
      </c:lineChart>
      <c:catAx>
        <c:axId val="-642267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a:t>
                </a:r>
                <a:r>
                  <a:rPr lang="ru-RU" baseline="0"/>
                  <a:t> цена</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72608"/>
        <c:crosses val="autoZero"/>
        <c:auto val="1"/>
        <c:lblAlgn val="ctr"/>
        <c:lblOffset val="100"/>
        <c:noMultiLvlLbl val="0"/>
      </c:catAx>
      <c:valAx>
        <c:axId val="-642272608"/>
        <c:scaling>
          <c:orientation val="minMax"/>
          <c:max val="19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Коолличество</a:t>
                </a:r>
                <a:r>
                  <a:rPr lang="ru-RU" baseline="0"/>
                  <a:t>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67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5.4 Зависимосить Колличества итераций от Параметра </a:t>
            </a:r>
            <a:r>
              <a:rPr lang="en-US" baseline="0"/>
              <a:t>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sheet5!$K$124:$K$182</c:f>
              <c:numCache>
                <c:formatCode>General</c:formatCode>
                <c:ptCount val="59"/>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pt idx="33">
                  <c:v>17.5</c:v>
                </c:pt>
                <c:pt idx="34">
                  <c:v>18</c:v>
                </c:pt>
                <c:pt idx="35">
                  <c:v>18.5</c:v>
                </c:pt>
                <c:pt idx="36">
                  <c:v>19</c:v>
                </c:pt>
                <c:pt idx="37">
                  <c:v>19.5</c:v>
                </c:pt>
                <c:pt idx="38">
                  <c:v>20</c:v>
                </c:pt>
                <c:pt idx="39">
                  <c:v>20.5</c:v>
                </c:pt>
                <c:pt idx="40">
                  <c:v>21</c:v>
                </c:pt>
                <c:pt idx="41">
                  <c:v>21.5</c:v>
                </c:pt>
                <c:pt idx="42">
                  <c:v>22</c:v>
                </c:pt>
                <c:pt idx="43">
                  <c:v>22.5</c:v>
                </c:pt>
                <c:pt idx="44">
                  <c:v>23</c:v>
                </c:pt>
                <c:pt idx="45">
                  <c:v>23.5</c:v>
                </c:pt>
                <c:pt idx="46">
                  <c:v>24</c:v>
                </c:pt>
                <c:pt idx="47">
                  <c:v>24.5</c:v>
                </c:pt>
                <c:pt idx="48">
                  <c:v>25</c:v>
                </c:pt>
                <c:pt idx="49">
                  <c:v>25.5</c:v>
                </c:pt>
                <c:pt idx="50">
                  <c:v>26</c:v>
                </c:pt>
                <c:pt idx="51">
                  <c:v>26.5</c:v>
                </c:pt>
                <c:pt idx="52">
                  <c:v>27</c:v>
                </c:pt>
                <c:pt idx="53">
                  <c:v>27.5</c:v>
                </c:pt>
                <c:pt idx="54">
                  <c:v>28</c:v>
                </c:pt>
                <c:pt idx="55">
                  <c:v>28.5</c:v>
                </c:pt>
                <c:pt idx="56">
                  <c:v>29</c:v>
                </c:pt>
                <c:pt idx="57">
                  <c:v>29.5</c:v>
                </c:pt>
                <c:pt idx="58">
                  <c:v>30</c:v>
                </c:pt>
              </c:numCache>
            </c:numRef>
          </c:cat>
          <c:val>
            <c:numRef>
              <c:f>sheet5!$F$124:$F$182</c:f>
              <c:numCache>
                <c:formatCode>0</c:formatCode>
                <c:ptCount val="59"/>
                <c:pt idx="0">
                  <c:v>2372</c:v>
                </c:pt>
                <c:pt idx="1">
                  <c:v>2173</c:v>
                </c:pt>
                <c:pt idx="2">
                  <c:v>2109</c:v>
                </c:pt>
                <c:pt idx="3">
                  <c:v>2078</c:v>
                </c:pt>
                <c:pt idx="4">
                  <c:v>2075</c:v>
                </c:pt>
                <c:pt idx="5">
                  <c:v>2074</c:v>
                </c:pt>
                <c:pt idx="6">
                  <c:v>2069</c:v>
                </c:pt>
                <c:pt idx="7">
                  <c:v>2080</c:v>
                </c:pt>
                <c:pt idx="8">
                  <c:v>2064</c:v>
                </c:pt>
                <c:pt idx="9">
                  <c:v>2084</c:v>
                </c:pt>
                <c:pt idx="10">
                  <c:v>2069</c:v>
                </c:pt>
                <c:pt idx="11">
                  <c:v>2057</c:v>
                </c:pt>
                <c:pt idx="12">
                  <c:v>2065</c:v>
                </c:pt>
                <c:pt idx="13">
                  <c:v>2063</c:v>
                </c:pt>
                <c:pt idx="14">
                  <c:v>2082</c:v>
                </c:pt>
                <c:pt idx="15">
                  <c:v>2068</c:v>
                </c:pt>
                <c:pt idx="16">
                  <c:v>2077</c:v>
                </c:pt>
                <c:pt idx="17">
                  <c:v>2078</c:v>
                </c:pt>
                <c:pt idx="18">
                  <c:v>2077</c:v>
                </c:pt>
                <c:pt idx="19">
                  <c:v>2063</c:v>
                </c:pt>
                <c:pt idx="20">
                  <c:v>2079</c:v>
                </c:pt>
                <c:pt idx="21">
                  <c:v>2094</c:v>
                </c:pt>
                <c:pt idx="22">
                  <c:v>2076</c:v>
                </c:pt>
                <c:pt idx="23">
                  <c:v>2057</c:v>
                </c:pt>
                <c:pt idx="24">
                  <c:v>2075</c:v>
                </c:pt>
                <c:pt idx="25">
                  <c:v>2080</c:v>
                </c:pt>
                <c:pt idx="26">
                  <c:v>2075</c:v>
                </c:pt>
                <c:pt idx="27">
                  <c:v>2065</c:v>
                </c:pt>
                <c:pt idx="28">
                  <c:v>2091</c:v>
                </c:pt>
                <c:pt idx="29">
                  <c:v>2088</c:v>
                </c:pt>
                <c:pt idx="30">
                  <c:v>2071</c:v>
                </c:pt>
                <c:pt idx="31">
                  <c:v>2095</c:v>
                </c:pt>
                <c:pt idx="32">
                  <c:v>2064</c:v>
                </c:pt>
                <c:pt idx="33">
                  <c:v>2095</c:v>
                </c:pt>
                <c:pt idx="34">
                  <c:v>2074</c:v>
                </c:pt>
                <c:pt idx="35">
                  <c:v>2105</c:v>
                </c:pt>
                <c:pt idx="36">
                  <c:v>2068</c:v>
                </c:pt>
                <c:pt idx="37">
                  <c:v>2089</c:v>
                </c:pt>
                <c:pt idx="38">
                  <c:v>2075</c:v>
                </c:pt>
                <c:pt idx="39">
                  <c:v>2070</c:v>
                </c:pt>
                <c:pt idx="40">
                  <c:v>2077</c:v>
                </c:pt>
                <c:pt idx="41">
                  <c:v>2087</c:v>
                </c:pt>
                <c:pt idx="42">
                  <c:v>2098</c:v>
                </c:pt>
                <c:pt idx="43">
                  <c:v>2073</c:v>
                </c:pt>
                <c:pt idx="44">
                  <c:v>2103</c:v>
                </c:pt>
                <c:pt idx="45">
                  <c:v>2096</c:v>
                </c:pt>
                <c:pt idx="46">
                  <c:v>2086</c:v>
                </c:pt>
                <c:pt idx="47">
                  <c:v>2091</c:v>
                </c:pt>
                <c:pt idx="48">
                  <c:v>2100</c:v>
                </c:pt>
                <c:pt idx="49">
                  <c:v>2086</c:v>
                </c:pt>
                <c:pt idx="50">
                  <c:v>2120</c:v>
                </c:pt>
                <c:pt idx="51">
                  <c:v>2091</c:v>
                </c:pt>
                <c:pt idx="52">
                  <c:v>2108</c:v>
                </c:pt>
                <c:pt idx="53">
                  <c:v>2109</c:v>
                </c:pt>
                <c:pt idx="54">
                  <c:v>2105</c:v>
                </c:pt>
                <c:pt idx="55">
                  <c:v>2080</c:v>
                </c:pt>
                <c:pt idx="56">
                  <c:v>2098</c:v>
                </c:pt>
                <c:pt idx="57">
                  <c:v>2134</c:v>
                </c:pt>
                <c:pt idx="58">
                  <c:v>2106</c:v>
                </c:pt>
              </c:numCache>
            </c:numRef>
          </c:val>
          <c:smooth val="0"/>
          <c:extLst xmlns:c16r2="http://schemas.microsoft.com/office/drawing/2015/06/chart">
            <c:ext xmlns:c16="http://schemas.microsoft.com/office/drawing/2014/chart" uri="{C3380CC4-5D6E-409C-BE32-E72D297353CC}">
              <c16:uniqueId val="{00000000-3FB2-4CFE-B728-44E1C676F763}"/>
            </c:ext>
          </c:extLst>
        </c:ser>
        <c:dLbls>
          <c:showLegendKey val="0"/>
          <c:showVal val="0"/>
          <c:showCatName val="0"/>
          <c:showSerName val="0"/>
          <c:showPercent val="0"/>
          <c:showBubbleSize val="0"/>
        </c:dLbls>
        <c:marker val="1"/>
        <c:smooth val="0"/>
        <c:axId val="-642266080"/>
        <c:axId val="-642270976"/>
      </c:lineChart>
      <c:catAx>
        <c:axId val="-6422660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Параметр </a:t>
                </a:r>
                <a:r>
                  <a:rPr lang="en-US"/>
                  <a: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70976"/>
        <c:crosses val="autoZero"/>
        <c:auto val="1"/>
        <c:lblAlgn val="ctr"/>
        <c:lblOffset val="100"/>
        <c:noMultiLvlLbl val="0"/>
      </c:catAx>
      <c:valAx>
        <c:axId val="-642270976"/>
        <c:scaling>
          <c:orientation val="minMax"/>
          <c:max val="2410"/>
          <c:min val="20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a:t>
                </a:r>
                <a:r>
                  <a:rPr lang="ru-RU" baseline="0"/>
                  <a:t>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66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E$6" fmlaRange="$H$5:$H$25" noThreeD="1" sel="21" val="0"/>
</file>

<file path=xl/ctrlProps/ctrlProp2.xml><?xml version="1.0" encoding="utf-8"?>
<formControlPr xmlns="http://schemas.microsoft.com/office/spreadsheetml/2009/9/main" objectType="Drop" dropLines="11" dropStyle="combo" dx="16" fmlaLink="$N$5" fmlaRange="sheet4!$H$15:$H$25" sel="3" val="0"/>
</file>

<file path=xl/ctrlProps/ctrlProp3.xml><?xml version="1.0" encoding="utf-8"?>
<formControlPr xmlns="http://schemas.microsoft.com/office/spreadsheetml/2009/9/main" objectType="List" dx="16" fmlaLink="I5" fmlaRange="H4:H5" noThreeD="1" sel="0" val="0"/>
</file>

<file path=xl/ctrlProps/ctrlProp4.xml><?xml version="1.0" encoding="utf-8"?>
<formControlPr xmlns="http://schemas.microsoft.com/office/spreadsheetml/2009/9/main" objectType="Drop" dropLines="30" dropStyle="combo" dx="16" fmlaLink="$O$5" fmlaRange="sheet5!$I$63:$I$120" sel="1" val="0"/>
</file>

<file path=xl/ctrlProps/ctrlProp5.xml><?xml version="1.0" encoding="utf-8"?>
<formControlPr xmlns="http://schemas.microsoft.com/office/spreadsheetml/2009/9/main" objectType="Drop" dropLines="30" dropStyle="combo" dx="16" fmlaLink="$P$5" fmlaRange="sheet5!$G$26:$G$59" sel="1" val="4"/>
</file>

<file path=xl/ctrlProps/ctrlProp6.xml><?xml version="1.0" encoding="utf-8"?>
<formControlPr xmlns="http://schemas.microsoft.com/office/spreadsheetml/2009/9/main" objectType="Drop" dropLines="30" dropStyle="combo" dx="16" fmlaLink="$Q$5" fmlaRange="sheet5!$K$124:$K$182" sel="19" val="1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5</xdr:col>
          <xdr:colOff>19050</xdr:colOff>
          <xdr:row>21</xdr:row>
          <xdr:rowOff>57150</xdr:rowOff>
        </xdr:to>
        <xdr:sp macro="" textlink="">
          <xdr:nvSpPr>
            <xdr:cNvPr id="2050" name="List Box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733425</xdr:colOff>
          <xdr:row>4</xdr:row>
          <xdr:rowOff>9525</xdr:rowOff>
        </xdr:from>
        <xdr:to>
          <xdr:col>10</xdr:col>
          <xdr:colOff>0</xdr:colOff>
          <xdr:row>5</xdr:row>
          <xdr:rowOff>0</xdr:rowOff>
        </xdr:to>
        <xdr:sp macro="" textlink="">
          <xdr:nvSpPr>
            <xdr:cNvPr id="1130" name="Drop Down 106" hidden="1">
              <a:extLst>
                <a:ext uri="{63B3BB69-23CF-44E3-9099-C40C66FF867C}">
                  <a14:compatExt spid="_x0000_s1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38100</xdr:rowOff>
        </xdr:from>
        <xdr:to>
          <xdr:col>9</xdr:col>
          <xdr:colOff>0</xdr:colOff>
          <xdr:row>5</xdr:row>
          <xdr:rowOff>0</xdr:rowOff>
        </xdr:to>
        <xdr:sp macro="" textlink="">
          <xdr:nvSpPr>
            <xdr:cNvPr id="1189" name="List Box 165" hidden="1">
              <a:extLst>
                <a:ext uri="{63B3BB69-23CF-44E3-9099-C40C66FF867C}">
                  <a14:compatExt spid="_x0000_s1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9525</xdr:rowOff>
        </xdr:from>
        <xdr:to>
          <xdr:col>11</xdr:col>
          <xdr:colOff>0</xdr:colOff>
          <xdr:row>5</xdr:row>
          <xdr:rowOff>9525</xdr:rowOff>
        </xdr:to>
        <xdr:sp macro="" textlink="">
          <xdr:nvSpPr>
            <xdr:cNvPr id="1200" name="Drop Down 176" hidden="1">
              <a:extLst>
                <a:ext uri="{63B3BB69-23CF-44E3-9099-C40C66FF867C}">
                  <a14:compatExt spid="_x0000_s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9525</xdr:rowOff>
        </xdr:from>
        <xdr:to>
          <xdr:col>12</xdr:col>
          <xdr:colOff>19050</xdr:colOff>
          <xdr:row>5</xdr:row>
          <xdr:rowOff>0</xdr:rowOff>
        </xdr:to>
        <xdr:sp macro="" textlink="">
          <xdr:nvSpPr>
            <xdr:cNvPr id="1201" name="Drop Down 177" hidden="1">
              <a:extLst>
                <a:ext uri="{63B3BB69-23CF-44E3-9099-C40C66FF867C}">
                  <a14:compatExt spid="_x0000_s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581025</xdr:rowOff>
        </xdr:from>
        <xdr:to>
          <xdr:col>17</xdr:col>
          <xdr:colOff>19050</xdr:colOff>
          <xdr:row>5</xdr:row>
          <xdr:rowOff>9525</xdr:rowOff>
        </xdr:to>
        <xdr:sp macro="" textlink="">
          <xdr:nvSpPr>
            <xdr:cNvPr id="1202" name="Drop Down 178" hidden="1">
              <a:extLst>
                <a:ext uri="{63B3BB69-23CF-44E3-9099-C40C66FF867C}">
                  <a14:compatExt spid="_x0000_s1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204788</xdr:colOff>
          <xdr:row>17</xdr:row>
          <xdr:rowOff>9525</xdr:rowOff>
        </xdr:from>
        <xdr:to>
          <xdr:col>1</xdr:col>
          <xdr:colOff>414338</xdr:colOff>
          <xdr:row>18</xdr:row>
          <xdr:rowOff>38100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47625</xdr:rowOff>
        </xdr:from>
        <xdr:to>
          <xdr:col>2</xdr:col>
          <xdr:colOff>695325</xdr:colOff>
          <xdr:row>18</xdr:row>
          <xdr:rowOff>76200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tol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21</xdr:col>
      <xdr:colOff>54428</xdr:colOff>
      <xdr:row>10</xdr:row>
      <xdr:rowOff>81643</xdr:rowOff>
    </xdr:from>
    <xdr:to>
      <xdr:col>30</xdr:col>
      <xdr:colOff>54428</xdr:colOff>
      <xdr:row>24</xdr:row>
      <xdr:rowOff>300718</xdr:rowOff>
    </xdr:to>
    <xdr:graphicFrame macro="">
      <xdr:nvGraphicFramePr>
        <xdr:cNvPr id="307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81643</xdr:colOff>
      <xdr:row>25</xdr:row>
      <xdr:rowOff>27215</xdr:rowOff>
    </xdr:from>
    <xdr:to>
      <xdr:col>30</xdr:col>
      <xdr:colOff>81643</xdr:colOff>
      <xdr:row>42</xdr:row>
      <xdr:rowOff>84365</xdr:rowOff>
    </xdr:to>
    <xdr:graphicFrame macro="">
      <xdr:nvGraphicFramePr>
        <xdr:cNvPr id="3079"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409575</xdr:colOff>
      <xdr:row>60</xdr:row>
      <xdr:rowOff>9525</xdr:rowOff>
    </xdr:from>
    <xdr:to>
      <xdr:col>32</xdr:col>
      <xdr:colOff>409575</xdr:colOff>
      <xdr:row>97</xdr:row>
      <xdr:rowOff>9525</xdr:rowOff>
    </xdr:to>
    <xdr:graphicFrame macro="">
      <xdr:nvGraphicFramePr>
        <xdr:cNvPr id="3080"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114300</xdr:colOff>
      <xdr:row>122</xdr:row>
      <xdr:rowOff>19050</xdr:rowOff>
    </xdr:from>
    <xdr:to>
      <xdr:col>30</xdr:col>
      <xdr:colOff>114300</xdr:colOff>
      <xdr:row>136</xdr:row>
      <xdr:rowOff>152400</xdr:rowOff>
    </xdr:to>
    <xdr:graphicFrame macro="">
      <xdr:nvGraphicFramePr>
        <xdr:cNvPr id="308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571500</xdr:colOff>
      <xdr:row>9</xdr:row>
      <xdr:rowOff>57149</xdr:rowOff>
    </xdr:from>
    <xdr:to>
      <xdr:col>19</xdr:col>
      <xdr:colOff>244929</xdr:colOff>
      <xdr:row>24</xdr:row>
      <xdr:rowOff>152399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38100</xdr:colOff>
      <xdr:row>34</xdr:row>
      <xdr:rowOff>123825</xdr:rowOff>
    </xdr:from>
    <xdr:to>
      <xdr:col>18</xdr:col>
      <xdr:colOff>342900</xdr:colOff>
      <xdr:row>51</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209550</xdr:colOff>
      <xdr:row>60</xdr:row>
      <xdr:rowOff>114300</xdr:rowOff>
    </xdr:from>
    <xdr:to>
      <xdr:col>19</xdr:col>
      <xdr:colOff>514350</xdr:colOff>
      <xdr:row>81</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114300</xdr:colOff>
      <xdr:row>122</xdr:row>
      <xdr:rowOff>57150</xdr:rowOff>
    </xdr:from>
    <xdr:to>
      <xdr:col>19</xdr:col>
      <xdr:colOff>419100</xdr:colOff>
      <xdr:row>135</xdr:row>
      <xdr:rowOff>161925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4.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omments" Target="../comments3.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1"/>
  <dimension ref="A1:O67"/>
  <sheetViews>
    <sheetView workbookViewId="0">
      <selection sqref="A1:XFD1048576"/>
    </sheetView>
  </sheetViews>
  <sheetFormatPr defaultRowHeight="12.75"/>
  <cols>
    <col min="1" max="1" width="4.3984375" customWidth="1"/>
    <col min="2" max="2" width="10" customWidth="1"/>
    <col min="3" max="3" width="9.265625" customWidth="1"/>
    <col min="4" max="4" width="7.1328125" customWidth="1"/>
    <col min="5" max="5" width="9.86328125" customWidth="1"/>
    <col min="6" max="6" width="8" bestFit="1" customWidth="1"/>
    <col min="7" max="7" width="11.3984375" bestFit="1" customWidth="1"/>
    <col min="8" max="8" width="29.73046875" customWidth="1"/>
    <col min="9" max="9" width="14.86328125" customWidth="1"/>
    <col min="10" max="10" width="14.265625" customWidth="1"/>
    <col min="11" max="11" width="9.59765625" customWidth="1"/>
  </cols>
  <sheetData>
    <row r="1" spans="1:15" ht="13.15">
      <c r="A1" s="137" t="s">
        <v>75</v>
      </c>
    </row>
    <row r="2" spans="1:15" ht="13.15" thickBot="1">
      <c r="A2" t="s">
        <v>76</v>
      </c>
    </row>
    <row r="3" spans="1:15" ht="48" customHeight="1">
      <c r="A3" s="138" t="s">
        <v>0</v>
      </c>
      <c r="B3" s="139" t="s">
        <v>64</v>
      </c>
      <c r="C3" s="139" t="s">
        <v>65</v>
      </c>
      <c r="D3" s="139" t="s">
        <v>66</v>
      </c>
      <c r="E3" s="139" t="s">
        <v>67</v>
      </c>
      <c r="F3" s="139" t="s">
        <v>68</v>
      </c>
      <c r="G3" s="139" t="s">
        <v>74</v>
      </c>
      <c r="H3" s="139" t="s">
        <v>77</v>
      </c>
      <c r="I3" s="139" t="s">
        <v>69</v>
      </c>
      <c r="J3" s="139" t="s">
        <v>70</v>
      </c>
      <c r="K3" s="140" t="s">
        <v>43</v>
      </c>
    </row>
    <row r="4" spans="1:15">
      <c r="A4" s="124">
        <v>0</v>
      </c>
      <c r="B4" s="125">
        <v>1E+20</v>
      </c>
      <c r="C4" s="124">
        <v>0</v>
      </c>
      <c r="D4" s="124">
        <v>400</v>
      </c>
      <c r="E4" s="124">
        <v>1.1100000000000001</v>
      </c>
      <c r="F4" s="126">
        <v>1.0000000000000001E-5</v>
      </c>
      <c r="G4" s="125">
        <v>400000</v>
      </c>
      <c r="H4" s="127" t="s">
        <v>78</v>
      </c>
      <c r="I4" s="128">
        <f>2*E4*D4/(2*E4-1)</f>
        <v>727.86885245901635</v>
      </c>
      <c r="J4" s="129">
        <f t="shared" ref="J4:J67" si="0">(K4*D4/G4)^(1/(2*E4))</f>
        <v>45462954.695323914</v>
      </c>
      <c r="K4" s="130">
        <f>B4/((1+C4)^(2*E4))</f>
        <v>1E+20</v>
      </c>
    </row>
    <row r="5" spans="1:15">
      <c r="A5" s="141">
        <v>1</v>
      </c>
      <c r="B5" s="142">
        <v>1.3200635000000001E+52</v>
      </c>
      <c r="C5" s="141">
        <v>1.6240000000000001</v>
      </c>
      <c r="D5" s="141">
        <v>1620</v>
      </c>
      <c r="E5" s="141">
        <v>2.6207999999996998</v>
      </c>
      <c r="F5" s="141">
        <v>1.0000000000000001E-5</v>
      </c>
      <c r="G5" s="142">
        <v>2640000000</v>
      </c>
      <c r="H5" s="141" t="s">
        <v>79</v>
      </c>
      <c r="I5" s="143">
        <f t="shared" ref="I5:I67" si="1">2*E5*D5/(2*E5-1)</f>
        <v>2001.9313466616909</v>
      </c>
      <c r="J5" s="144">
        <f t="shared" si="0"/>
        <v>218538053.75470608</v>
      </c>
      <c r="K5" s="145">
        <f t="shared" ref="K5:K67" si="2">B5/((1+C5)^(2*E5))</f>
        <v>8.4053152720951695E+49</v>
      </c>
    </row>
    <row r="6" spans="1:15">
      <c r="A6" s="1">
        <v>2</v>
      </c>
      <c r="B6" s="2">
        <v>1.330064E+52</v>
      </c>
      <c r="C6" s="1">
        <v>1.6359999999999999</v>
      </c>
      <c r="D6" s="1">
        <v>1630</v>
      </c>
      <c r="E6" s="1">
        <v>2.6318999999996899</v>
      </c>
      <c r="F6" s="1">
        <v>1.0000000000000001E-5</v>
      </c>
      <c r="G6" s="2">
        <v>2660000000</v>
      </c>
      <c r="H6" s="1" t="s">
        <v>80</v>
      </c>
      <c r="I6" s="134">
        <f t="shared" si="1"/>
        <v>2012.2880998171202</v>
      </c>
      <c r="J6" s="135">
        <f t="shared" si="0"/>
        <v>200038882.17951778</v>
      </c>
      <c r="K6" s="131">
        <f t="shared" si="2"/>
        <v>8.0928242897250526E+49</v>
      </c>
    </row>
    <row r="7" spans="1:15">
      <c r="A7" s="1">
        <v>3</v>
      </c>
      <c r="B7" s="2">
        <v>1.3400645000000001E+52</v>
      </c>
      <c r="C7" s="1">
        <v>1.6479999999999999</v>
      </c>
      <c r="D7" s="1">
        <v>1640</v>
      </c>
      <c r="E7" s="1">
        <v>2.64299999999968</v>
      </c>
      <c r="F7" s="1">
        <v>1.0000000000000001E-5</v>
      </c>
      <c r="G7" s="2">
        <v>2680000000</v>
      </c>
      <c r="H7" s="1" t="s">
        <v>81</v>
      </c>
      <c r="I7" s="134">
        <f t="shared" si="1"/>
        <v>2022.6411572562401</v>
      </c>
      <c r="J7" s="135">
        <f t="shared" si="0"/>
        <v>183237213.80570087</v>
      </c>
      <c r="K7" s="131">
        <f t="shared" si="2"/>
        <v>7.7907856562055439E+49</v>
      </c>
    </row>
    <row r="8" spans="1:15">
      <c r="A8" s="1">
        <v>4</v>
      </c>
      <c r="B8" s="2">
        <v>1.350065E+52</v>
      </c>
      <c r="C8" s="1">
        <v>1.66</v>
      </c>
      <c r="D8" s="1">
        <v>1650</v>
      </c>
      <c r="E8" s="1">
        <v>2.6540999999996702</v>
      </c>
      <c r="F8" s="1">
        <v>1.0000000000000001E-5</v>
      </c>
      <c r="G8" s="2">
        <v>2700000000</v>
      </c>
      <c r="H8" s="1" t="s">
        <v>82</v>
      </c>
      <c r="I8" s="134">
        <f t="shared" si="1"/>
        <v>2032.9905761107311</v>
      </c>
      <c r="J8" s="135">
        <f t="shared" si="0"/>
        <v>167965856.18716684</v>
      </c>
      <c r="K8" s="131">
        <f t="shared" si="2"/>
        <v>7.4989071261342963E+49</v>
      </c>
    </row>
    <row r="9" spans="1:15">
      <c r="A9" s="1">
        <v>5</v>
      </c>
      <c r="B9" s="2">
        <v>1.3600655000000001E+52</v>
      </c>
      <c r="C9" s="1">
        <v>1.6719999999999999</v>
      </c>
      <c r="D9" s="1">
        <v>1660</v>
      </c>
      <c r="E9" s="1">
        <v>2.6651999999996598</v>
      </c>
      <c r="F9" s="1">
        <v>1.0000000000000001E-5</v>
      </c>
      <c r="G9" s="2">
        <v>2720000000</v>
      </c>
      <c r="H9" s="1" t="s">
        <v>83</v>
      </c>
      <c r="I9" s="134">
        <f t="shared" si="1"/>
        <v>2043.3364123407216</v>
      </c>
      <c r="J9" s="135">
        <f t="shared" si="0"/>
        <v>154075158.52451628</v>
      </c>
      <c r="K9" s="131">
        <f t="shared" si="2"/>
        <v>7.2169017166676157E+49</v>
      </c>
    </row>
    <row r="10" spans="1:15">
      <c r="A10" s="1">
        <v>6</v>
      </c>
      <c r="B10" s="2">
        <v>1.370066E+52</v>
      </c>
      <c r="C10" s="1">
        <v>1.6839999999999999</v>
      </c>
      <c r="D10" s="1">
        <v>1670</v>
      </c>
      <c r="E10" s="1">
        <v>2.67629999999965</v>
      </c>
      <c r="F10" s="1">
        <v>1.0000000000000001E-5</v>
      </c>
      <c r="G10" s="2">
        <v>2740000000</v>
      </c>
      <c r="H10" s="1" t="s">
        <v>84</v>
      </c>
      <c r="I10" s="134">
        <f t="shared" si="1"/>
        <v>2053.6787207646621</v>
      </c>
      <c r="J10" s="135">
        <f t="shared" si="0"/>
        <v>141431062.99647093</v>
      </c>
      <c r="K10" s="131">
        <f t="shared" si="2"/>
        <v>6.9444877767578047E+49</v>
      </c>
    </row>
    <row r="11" spans="1:15">
      <c r="A11" s="1">
        <v>7</v>
      </c>
      <c r="B11" s="2">
        <v>1.3800665000000001E+52</v>
      </c>
      <c r="C11" s="1">
        <v>1.696</v>
      </c>
      <c r="D11" s="1">
        <v>1680</v>
      </c>
      <c r="E11" s="1">
        <v>2.6873999999996401</v>
      </c>
      <c r="F11" s="1">
        <v>1.0000000000000001E-5</v>
      </c>
      <c r="G11" s="2">
        <v>2760000000</v>
      </c>
      <c r="H11" s="1" t="s">
        <v>85</v>
      </c>
      <c r="I11" s="134">
        <f t="shared" si="1"/>
        <v>2064.0175550882959</v>
      </c>
      <c r="J11" s="135">
        <f t="shared" si="0"/>
        <v>129913384.15759315</v>
      </c>
      <c r="K11" s="131">
        <f t="shared" si="2"/>
        <v>6.681389043604658E+49</v>
      </c>
    </row>
    <row r="12" spans="1:15">
      <c r="A12" s="1">
        <v>8</v>
      </c>
      <c r="B12" s="2">
        <v>1.390067E+52</v>
      </c>
      <c r="C12" s="1">
        <v>1.708</v>
      </c>
      <c r="D12" s="1">
        <v>1690</v>
      </c>
      <c r="E12" s="1">
        <v>2.6984999999996302</v>
      </c>
      <c r="F12" s="1">
        <v>1.0000000000000001E-5</v>
      </c>
      <c r="G12" s="2">
        <v>2780000000</v>
      </c>
      <c r="H12" s="1" t="s">
        <v>86</v>
      </c>
      <c r="I12" s="134">
        <f t="shared" si="1"/>
        <v>2074.3529679327462</v>
      </c>
      <c r="J12" s="135">
        <f t="shared" si="0"/>
        <v>119414288.39739411</v>
      </c>
      <c r="K12" s="131">
        <f t="shared" si="2"/>
        <v>6.4273346870814807E+49</v>
      </c>
    </row>
    <row r="13" spans="1:15">
      <c r="A13" s="1">
        <v>9</v>
      </c>
      <c r="B13" s="2">
        <v>1.4000675000000001E+52</v>
      </c>
      <c r="C13" s="1">
        <v>1.72</v>
      </c>
      <c r="D13" s="1">
        <v>1700</v>
      </c>
      <c r="E13" s="1">
        <v>2.7095999999996199</v>
      </c>
      <c r="F13" s="1">
        <v>1.0000000000000001E-5</v>
      </c>
      <c r="G13" s="2">
        <v>2800000000</v>
      </c>
      <c r="H13" s="1" t="s">
        <v>87</v>
      </c>
      <c r="I13" s="134">
        <f t="shared" si="1"/>
        <v>2084.6850108617605</v>
      </c>
      <c r="J13" s="135">
        <f t="shared" si="0"/>
        <v>109836949.05110747</v>
      </c>
      <c r="K13" s="131">
        <f t="shared" si="2"/>
        <v>6.1820593428670233E+49</v>
      </c>
    </row>
    <row r="14" spans="1:15">
      <c r="A14" s="1">
        <v>10</v>
      </c>
      <c r="B14" s="2">
        <v>1.410068E+52</v>
      </c>
      <c r="C14" s="1">
        <v>1.732</v>
      </c>
      <c r="D14" s="1">
        <v>1710</v>
      </c>
      <c r="E14" s="1">
        <v>2.72069999999961</v>
      </c>
      <c r="F14" s="1">
        <v>1.0000000000000001E-5</v>
      </c>
      <c r="G14" s="2">
        <v>2820000000</v>
      </c>
      <c r="H14" s="1" t="s">
        <v>88</v>
      </c>
      <c r="I14" s="134">
        <f t="shared" si="1"/>
        <v>2095.0137344081372</v>
      </c>
      <c r="J14" s="135">
        <f t="shared" si="0"/>
        <v>101094355.8665393</v>
      </c>
      <c r="K14" s="131">
        <f t="shared" si="2"/>
        <v>5.9453031349840186E+49</v>
      </c>
      <c r="O14" t="s">
        <v>89</v>
      </c>
    </row>
    <row r="15" spans="1:15">
      <c r="A15" s="1">
        <v>11</v>
      </c>
      <c r="B15" s="2">
        <v>1.4200685000000001E+52</v>
      </c>
      <c r="C15" s="1">
        <v>1.744</v>
      </c>
      <c r="D15" s="1">
        <v>1720</v>
      </c>
      <c r="E15" s="1">
        <v>2.7317999999996001</v>
      </c>
      <c r="F15" s="1">
        <v>1.0000000000000001E-5</v>
      </c>
      <c r="G15" s="2">
        <v>2840000000</v>
      </c>
      <c r="H15" s="1" t="s">
        <v>90</v>
      </c>
      <c r="I15" s="134">
        <f t="shared" si="1"/>
        <v>2105.3391880993613</v>
      </c>
      <c r="J15" s="135">
        <f t="shared" si="0"/>
        <v>93108260.231389597</v>
      </c>
      <c r="K15" s="131">
        <f t="shared" si="2"/>
        <v>5.716811688416956E+49</v>
      </c>
    </row>
    <row r="16" spans="1:15">
      <c r="A16" s="1">
        <v>12</v>
      </c>
      <c r="B16" s="2">
        <v>1.4300689999999999E+52</v>
      </c>
      <c r="C16" s="1">
        <v>1.756</v>
      </c>
      <c r="D16" s="1">
        <v>1730</v>
      </c>
      <c r="E16" s="1">
        <v>2.7428999999995902</v>
      </c>
      <c r="F16" s="1">
        <v>1.0000000000000001E-5</v>
      </c>
      <c r="G16" s="2">
        <v>2860000000</v>
      </c>
      <c r="H16" s="1" t="s">
        <v>91</v>
      </c>
      <c r="I16" s="134">
        <f t="shared" si="1"/>
        <v>2115.6614204824818</v>
      </c>
      <c r="J16" s="135">
        <f t="shared" si="0"/>
        <v>85808239.90851143</v>
      </c>
      <c r="K16" s="131">
        <f t="shared" si="2"/>
        <v>5.4963361324529225E+49</v>
      </c>
    </row>
    <row r="17" spans="1:11">
      <c r="A17" s="1">
        <v>13</v>
      </c>
      <c r="B17" s="2">
        <v>1.4400695000000001E+52</v>
      </c>
      <c r="C17" s="1">
        <v>1.768</v>
      </c>
      <c r="D17" s="1">
        <v>1740</v>
      </c>
      <c r="E17" s="1">
        <v>2.7539999999995799</v>
      </c>
      <c r="F17" s="1">
        <v>1.0000000000000001E-5</v>
      </c>
      <c r="G17" s="2">
        <v>2880000000</v>
      </c>
      <c r="H17" s="136"/>
      <c r="I17" s="134">
        <f t="shared" si="1"/>
        <v>2125.9804791482529</v>
      </c>
      <c r="J17" s="135">
        <f t="shared" si="0"/>
        <v>79130869.06186147</v>
      </c>
      <c r="K17" s="131">
        <f t="shared" si="2"/>
        <v>5.2836330953624458E+49</v>
      </c>
    </row>
    <row r="18" spans="1:11">
      <c r="A18" s="1">
        <v>14</v>
      </c>
      <c r="B18" s="2">
        <v>1.4500699999999999E+52</v>
      </c>
      <c r="C18" s="1">
        <v>1.78</v>
      </c>
      <c r="D18" s="1">
        <v>1750</v>
      </c>
      <c r="E18" s="1">
        <v>2.76509999999957</v>
      </c>
      <c r="F18" s="1">
        <v>1.0000000000000001E-5</v>
      </c>
      <c r="G18" s="2">
        <v>2900000000</v>
      </c>
      <c r="H18" s="136"/>
      <c r="I18" s="134">
        <f t="shared" si="1"/>
        <v>2136.2964107545654</v>
      </c>
      <c r="J18" s="135">
        <f t="shared" si="0"/>
        <v>73018981.125346139</v>
      </c>
      <c r="K18" s="131">
        <f t="shared" si="2"/>
        <v>5.0784646910099324E+49</v>
      </c>
    </row>
    <row r="19" spans="1:11">
      <c r="A19" s="1">
        <v>15</v>
      </c>
      <c r="B19" s="2">
        <v>1.4600705000000001E+52</v>
      </c>
      <c r="C19" s="1">
        <v>1.792</v>
      </c>
      <c r="D19" s="1">
        <v>1760</v>
      </c>
      <c r="E19" s="1">
        <v>2.7761999999995601</v>
      </c>
      <c r="F19" s="1">
        <v>1.0000000000000001E-5</v>
      </c>
      <c r="G19" s="2">
        <v>2920000000</v>
      </c>
      <c r="H19" s="136"/>
      <c r="I19" s="134">
        <f t="shared" si="1"/>
        <v>2146.6092610491919</v>
      </c>
      <c r="J19" s="135">
        <f t="shared" si="0"/>
        <v>67421013.606579453</v>
      </c>
      <c r="K19" s="131">
        <f t="shared" si="2"/>
        <v>4.8805984979582545E+49</v>
      </c>
    </row>
    <row r="20" spans="1:11">
      <c r="A20" s="1">
        <v>16</v>
      </c>
      <c r="B20" s="2">
        <v>1.4700709999999999E+52</v>
      </c>
      <c r="C20" s="1">
        <v>1.804</v>
      </c>
      <c r="D20" s="1">
        <v>1770</v>
      </c>
      <c r="E20" s="1">
        <v>2.7872999999995498</v>
      </c>
      <c r="F20" s="1">
        <v>1.0000000000000001E-5</v>
      </c>
      <c r="G20" s="2">
        <v>2940000000</v>
      </c>
      <c r="H20" s="136"/>
      <c r="I20" s="134">
        <f t="shared" si="1"/>
        <v>2156.91907489187</v>
      </c>
      <c r="J20" s="135">
        <f t="shared" si="0"/>
        <v>62290425.258676298</v>
      </c>
      <c r="K20" s="131">
        <f t="shared" si="2"/>
        <v>4.6898075316055839E+49</v>
      </c>
    </row>
    <row r="21" spans="1:11">
      <c r="A21" s="1">
        <v>17</v>
      </c>
      <c r="B21" s="2">
        <v>1.4800715000000001E+52</v>
      </c>
      <c r="C21" s="1">
        <v>1.8160000000000001</v>
      </c>
      <c r="D21" s="1">
        <v>1780</v>
      </c>
      <c r="E21" s="1">
        <v>2.7983999999995399</v>
      </c>
      <c r="F21" s="1">
        <v>1.0000000000000001E-5</v>
      </c>
      <c r="G21" s="2">
        <v>2960000000</v>
      </c>
      <c r="H21" s="136"/>
      <c r="I21" s="134">
        <f t="shared" si="1"/>
        <v>2167.2258962757478</v>
      </c>
      <c r="J21" s="135">
        <f t="shared" si="0"/>
        <v>57585177.222318016</v>
      </c>
      <c r="K21" s="131">
        <f t="shared" si="2"/>
        <v>4.5058702098693396E+49</v>
      </c>
    </row>
    <row r="22" spans="1:11">
      <c r="A22" s="1">
        <v>18</v>
      </c>
      <c r="B22" s="2">
        <v>1.4900719999999999E+52</v>
      </c>
      <c r="C22" s="1">
        <v>1.8280000000000001</v>
      </c>
      <c r="D22" s="1">
        <v>1790</v>
      </c>
      <c r="E22" s="1">
        <v>2.80949999999953</v>
      </c>
      <c r="F22" s="1">
        <v>1.0000000000000001E-5</v>
      </c>
      <c r="G22" s="2">
        <v>2980000000</v>
      </c>
      <c r="H22" s="136"/>
      <c r="I22" s="134">
        <f t="shared" si="1"/>
        <v>2177.5297683482063</v>
      </c>
      <c r="J22" s="135">
        <f t="shared" si="0"/>
        <v>53267270.760383531</v>
      </c>
      <c r="K22" s="131">
        <f t="shared" si="2"/>
        <v>4.3285703129072406E+49</v>
      </c>
    </row>
    <row r="23" spans="1:11">
      <c r="A23" s="1">
        <v>19</v>
      </c>
      <c r="B23" s="2">
        <v>1.5000725000000001E+52</v>
      </c>
      <c r="C23" s="1">
        <v>1.84</v>
      </c>
      <c r="D23" s="1">
        <v>1800</v>
      </c>
      <c r="E23" s="1">
        <v>2.8205999999995202</v>
      </c>
      <c r="F23" s="1">
        <v>1.0000000000000001E-5</v>
      </c>
      <c r="G23" s="2">
        <v>3000000000</v>
      </c>
      <c r="H23" s="136"/>
      <c r="I23" s="134">
        <f t="shared" si="1"/>
        <v>2187.8307334310894</v>
      </c>
      <c r="J23" s="135">
        <f t="shared" si="0"/>
        <v>49302335.098193392</v>
      </c>
      <c r="K23" s="131">
        <f t="shared" si="2"/>
        <v>4.1576969373433267E+49</v>
      </c>
    </row>
    <row r="24" spans="1:11">
      <c r="A24" s="1">
        <v>20</v>
      </c>
      <c r="B24" s="2">
        <v>1.5100729999999999E+52</v>
      </c>
      <c r="C24" s="1">
        <v>1.8520000000000001</v>
      </c>
      <c r="D24" s="1">
        <v>1810</v>
      </c>
      <c r="E24" s="1">
        <v>2.8316999999995098</v>
      </c>
      <c r="F24" s="1">
        <v>1.0000000000000001E-5</v>
      </c>
      <c r="G24" s="2">
        <v>3020000000</v>
      </c>
      <c r="H24" s="136"/>
      <c r="I24" s="134">
        <f t="shared" si="1"/>
        <v>2198.1288330403527</v>
      </c>
      <c r="J24" s="135">
        <f t="shared" si="0"/>
        <v>45659259.660966493</v>
      </c>
      <c r="K24" s="131">
        <f t="shared" si="2"/>
        <v>3.9930444454436875E+49</v>
      </c>
    </row>
    <row r="25" spans="1:11">
      <c r="A25" s="1">
        <v>21</v>
      </c>
      <c r="B25" s="2">
        <v>1.5200735E+52</v>
      </c>
      <c r="C25" s="1">
        <v>1.8640000000000001</v>
      </c>
      <c r="D25" s="1">
        <v>1820</v>
      </c>
      <c r="E25" s="1">
        <v>2.8427999999994999</v>
      </c>
      <c r="F25" s="1">
        <v>1.0000000000000001E-5</v>
      </c>
      <c r="G25" s="2">
        <v>3040000000</v>
      </c>
      <c r="H25" s="136"/>
      <c r="I25" s="134">
        <f t="shared" si="1"/>
        <v>2208.424107905154</v>
      </c>
      <c r="J25" s="135">
        <f t="shared" si="0"/>
        <v>42309865.681083828</v>
      </c>
      <c r="K25" s="131">
        <f t="shared" si="2"/>
        <v>3.8344124096657693E+49</v>
      </c>
    </row>
    <row r="26" spans="1:11">
      <c r="A26" s="1">
        <v>22</v>
      </c>
      <c r="B26" s="2">
        <v>1.5300739999999999E+52</v>
      </c>
      <c r="C26" s="1">
        <v>1.8759999999999999</v>
      </c>
      <c r="D26" s="1">
        <v>1830</v>
      </c>
      <c r="E26" s="1">
        <v>2.8538999999994901</v>
      </c>
      <c r="F26" s="1">
        <v>1.0000000000000001E-5</v>
      </c>
      <c r="G26" s="2">
        <v>3060000000</v>
      </c>
      <c r="H26" s="136"/>
      <c r="I26" s="134">
        <f t="shared" si="1"/>
        <v>2218.7165979864048</v>
      </c>
      <c r="J26" s="135">
        <f t="shared" si="0"/>
        <v>39228612.743981734</v>
      </c>
      <c r="K26" s="131">
        <f t="shared" si="2"/>
        <v>3.6816055529835847E+49</v>
      </c>
    </row>
    <row r="27" spans="1:11">
      <c r="A27" s="1">
        <v>23</v>
      </c>
      <c r="B27" s="2">
        <v>1.5400745E+52</v>
      </c>
      <c r="C27" s="1">
        <v>1.8879999999999999</v>
      </c>
      <c r="D27" s="1">
        <v>1840</v>
      </c>
      <c r="E27" s="1">
        <v>2.8649999999994802</v>
      </c>
      <c r="F27" s="1">
        <v>1.0000000000000001E-5</v>
      </c>
      <c r="G27" s="2">
        <v>3080000000</v>
      </c>
      <c r="H27" s="136"/>
      <c r="I27" s="134">
        <f t="shared" si="1"/>
        <v>2229.0063424948003</v>
      </c>
      <c r="J27" s="135">
        <f t="shared" si="0"/>
        <v>36392336.363887496</v>
      </c>
      <c r="K27" s="131">
        <f t="shared" si="2"/>
        <v>3.5344336853715457E+49</v>
      </c>
    </row>
    <row r="28" spans="1:11">
      <c r="A28" s="1">
        <v>24</v>
      </c>
      <c r="B28" s="2">
        <v>1.5500749999999999E+52</v>
      </c>
      <c r="C28" s="1">
        <v>1.9</v>
      </c>
      <c r="D28" s="1">
        <v>1850</v>
      </c>
      <c r="E28" s="1">
        <v>2.8760999999994699</v>
      </c>
      <c r="F28" s="1">
        <v>1.0000000000000001E-5</v>
      </c>
      <c r="G28" s="2">
        <v>3100000000</v>
      </c>
      <c r="H28" s="136"/>
      <c r="I28" s="134">
        <f t="shared" si="1"/>
        <v>2239.2933799083398</v>
      </c>
      <c r="J28" s="135">
        <f t="shared" si="0"/>
        <v>33780013.138709366</v>
      </c>
      <c r="K28" s="131">
        <f t="shared" si="2"/>
        <v>3.3927116368095502E+49</v>
      </c>
    </row>
    <row r="29" spans="1:11">
      <c r="A29" s="1">
        <v>25</v>
      </c>
      <c r="B29" s="2">
        <v>1.5600755E+52</v>
      </c>
      <c r="C29" s="1">
        <v>1.9119999999999999</v>
      </c>
      <c r="D29" s="1">
        <v>1860</v>
      </c>
      <c r="E29" s="1">
        <v>2.88719999999946</v>
      </c>
      <c r="F29" s="1">
        <v>1.0000000000000001E-5</v>
      </c>
      <c r="G29" s="2">
        <v>3120000000</v>
      </c>
      <c r="H29" s="136"/>
      <c r="I29" s="134">
        <f t="shared" si="1"/>
        <v>2249.5777479893645</v>
      </c>
      <c r="J29" s="135">
        <f t="shared" si="0"/>
        <v>31372550.435436945</v>
      </c>
      <c r="K29" s="131">
        <f t="shared" si="2"/>
        <v>3.2562591871536916E+49</v>
      </c>
    </row>
    <row r="30" spans="1:11">
      <c r="A30" s="1">
        <v>26</v>
      </c>
      <c r="B30" s="2">
        <v>1.5700759999999999E+52</v>
      </c>
      <c r="C30" s="1">
        <v>1.9239999999999999</v>
      </c>
      <c r="D30" s="1">
        <v>1870</v>
      </c>
      <c r="E30" s="1">
        <v>2.8982999999994501</v>
      </c>
      <c r="F30" s="1">
        <v>1.0000000000000001E-5</v>
      </c>
      <c r="G30" s="2">
        <v>3140000000</v>
      </c>
      <c r="H30" s="136"/>
      <c r="I30" s="134">
        <f t="shared" si="1"/>
        <v>2259.8594838011149</v>
      </c>
      <c r="J30" s="135">
        <f t="shared" si="0"/>
        <v>29152597.910530083</v>
      </c>
      <c r="K30" s="131">
        <f t="shared" si="2"/>
        <v>3.1249009931984106E+49</v>
      </c>
    </row>
    <row r="31" spans="1:11">
      <c r="A31" s="1">
        <v>27</v>
      </c>
      <c r="B31" s="2">
        <v>1.5800765E+52</v>
      </c>
      <c r="C31" s="1">
        <v>1.9359999999999999</v>
      </c>
      <c r="D31" s="1">
        <v>1880</v>
      </c>
      <c r="E31" s="1">
        <v>2.9093999999994402</v>
      </c>
      <c r="F31" s="1">
        <v>1.0000000000000001E-5</v>
      </c>
      <c r="G31" s="2">
        <v>3160000000</v>
      </c>
      <c r="H31" s="136"/>
      <c r="I31" s="134">
        <f t="shared" si="1"/>
        <v>2270.1386237238394</v>
      </c>
      <c r="J31" s="135">
        <f t="shared" si="0"/>
        <v>27104378.48017646</v>
      </c>
      <c r="K31" s="131">
        <f t="shared" si="2"/>
        <v>2.9984665132385585E+49</v>
      </c>
    </row>
    <row r="32" spans="1:11">
      <c r="A32" s="1">
        <v>28</v>
      </c>
      <c r="B32" s="2">
        <v>1.5900769999999999E+52</v>
      </c>
      <c r="C32" s="1">
        <v>1.94799999999999</v>
      </c>
      <c r="D32" s="1">
        <v>1890</v>
      </c>
      <c r="E32" s="1">
        <v>2.9204999999994299</v>
      </c>
      <c r="F32" s="1">
        <v>1.0000000000000001E-5</v>
      </c>
      <c r="G32" s="2">
        <v>3180000000</v>
      </c>
      <c r="H32" s="136"/>
      <c r="I32" s="134">
        <f t="shared" si="1"/>
        <v>2280.4152034704493</v>
      </c>
      <c r="J32" s="135">
        <f t="shared" si="0"/>
        <v>25213536.628367968</v>
      </c>
      <c r="K32" s="131">
        <f t="shared" si="2"/>
        <v>2.8767899294230994E+49</v>
      </c>
    </row>
    <row r="33" spans="1:11">
      <c r="A33" s="1">
        <v>29</v>
      </c>
      <c r="B33" s="2">
        <v>1.6000775E+52</v>
      </c>
      <c r="C33" s="1">
        <v>1.95999999999999</v>
      </c>
      <c r="D33" s="1">
        <v>1900</v>
      </c>
      <c r="E33" s="1">
        <v>2.93159999999942</v>
      </c>
      <c r="F33" s="1">
        <v>1.0000000000000001E-5</v>
      </c>
      <c r="G33" s="2">
        <v>3200000000</v>
      </c>
      <c r="H33" s="136"/>
      <c r="I33" s="134">
        <f t="shared" si="1"/>
        <v>2290.6892581017546</v>
      </c>
      <c r="J33" s="135">
        <f t="shared" si="0"/>
        <v>23467002.181156624</v>
      </c>
      <c r="K33" s="131">
        <f t="shared" si="2"/>
        <v>2.7597100681754561E+49</v>
      </c>
    </row>
    <row r="34" spans="1:11">
      <c r="A34" s="1">
        <v>30</v>
      </c>
      <c r="B34" s="2">
        <v>1.6100779999999999E+52</v>
      </c>
      <c r="C34" s="1">
        <v>1.97199999999999</v>
      </c>
      <c r="D34" s="1">
        <v>1910</v>
      </c>
      <c r="E34" s="1">
        <v>2.9426999999994101</v>
      </c>
      <c r="F34" s="1">
        <v>1.0000000000000001E-5</v>
      </c>
      <c r="G34" s="2">
        <v>3220000000</v>
      </c>
      <c r="H34" s="136"/>
      <c r="I34" s="134">
        <f t="shared" si="1"/>
        <v>2300.9608220412783</v>
      </c>
      <c r="J34" s="135">
        <f t="shared" si="0"/>
        <v>21852867.88726715</v>
      </c>
      <c r="K34" s="131">
        <f t="shared" si="2"/>
        <v>2.647070318941268E+49</v>
      </c>
    </row>
    <row r="35" spans="1:11">
      <c r="A35" s="1">
        <v>31</v>
      </c>
      <c r="B35" s="2">
        <v>1.6200785E+52</v>
      </c>
      <c r="C35" s="1">
        <v>1.98399999999999</v>
      </c>
      <c r="D35" s="1">
        <v>1920</v>
      </c>
      <c r="E35" s="1">
        <v>2.9537999999993998</v>
      </c>
      <c r="F35" s="1">
        <v>1.0000000000000001E-5</v>
      </c>
      <c r="G35" s="2">
        <v>3240000000</v>
      </c>
      <c r="H35" s="136"/>
      <c r="I35" s="134">
        <f t="shared" si="1"/>
        <v>2311.2299290896713</v>
      </c>
      <c r="J35" s="135">
        <f t="shared" si="0"/>
        <v>20360279.332012668</v>
      </c>
      <c r="K35" s="131">
        <f t="shared" si="2"/>
        <v>2.5387185515071114E+49</v>
      </c>
    </row>
    <row r="36" spans="1:11">
      <c r="A36" s="1">
        <v>32</v>
      </c>
      <c r="B36" s="2">
        <v>1.6300790000000001E+52</v>
      </c>
      <c r="C36" s="1">
        <v>1.99599999999999</v>
      </c>
      <c r="D36" s="1">
        <v>1930</v>
      </c>
      <c r="E36" s="1">
        <v>2.9648999999993899</v>
      </c>
      <c r="F36" s="1">
        <v>1.0000000000000001E-5</v>
      </c>
      <c r="G36" s="2">
        <v>3260000000</v>
      </c>
      <c r="H36" s="136"/>
      <c r="I36" s="134">
        <f t="shared" si="1"/>
        <v>2321.4966124387356</v>
      </c>
      <c r="J36" s="135">
        <f t="shared" si="0"/>
        <v>18979335.876271565</v>
      </c>
      <c r="K36" s="131">
        <f t="shared" si="2"/>
        <v>2.4345070321216085E+49</v>
      </c>
    </row>
    <row r="37" spans="1:11">
      <c r="A37" s="1">
        <v>33</v>
      </c>
      <c r="B37" s="2">
        <v>1.6400795E+52</v>
      </c>
      <c r="C37" s="1">
        <v>2.0079999999999898</v>
      </c>
      <c r="D37" s="1">
        <v>1940</v>
      </c>
      <c r="E37" s="1">
        <v>2.97599999999938</v>
      </c>
      <c r="F37" s="1">
        <v>1.0000000000000001E-5</v>
      </c>
      <c r="G37" s="2">
        <v>3280000000</v>
      </c>
      <c r="H37" s="136"/>
      <c r="I37" s="134">
        <f t="shared" si="1"/>
        <v>2331.7609046850739</v>
      </c>
      <c r="J37" s="135">
        <f t="shared" si="0"/>
        <v>17701001.457819954</v>
      </c>
      <c r="K37" s="131">
        <f t="shared" si="2"/>
        <v>2.3342923386351816E+49</v>
      </c>
    </row>
    <row r="38" spans="1:11">
      <c r="A38" s="1">
        <v>34</v>
      </c>
      <c r="B38" s="2">
        <v>1.6500800000000001E+52</v>
      </c>
      <c r="C38" s="1">
        <v>2.0199999999999898</v>
      </c>
      <c r="D38" s="1">
        <v>1950</v>
      </c>
      <c r="E38" s="1">
        <v>2.9870999999993701</v>
      </c>
      <c r="F38" s="1">
        <v>1.0000000000000001E-5</v>
      </c>
      <c r="G38" s="2">
        <v>3300000000</v>
      </c>
      <c r="H38" s="136"/>
      <c r="I38" s="134">
        <f t="shared" si="1"/>
        <v>2342.0228378433703</v>
      </c>
      <c r="J38" s="135">
        <f t="shared" si="0"/>
        <v>16517024.220925113</v>
      </c>
      <c r="K38" s="131">
        <f t="shared" si="2"/>
        <v>2.2379352748619018E+49</v>
      </c>
    </row>
    <row r="39" spans="1:11">
      <c r="A39" s="1">
        <v>35</v>
      </c>
      <c r="B39" s="2">
        <v>1.6600805E+52</v>
      </c>
      <c r="C39" s="1">
        <v>2.0319999999999898</v>
      </c>
      <c r="D39" s="1">
        <v>1960</v>
      </c>
      <c r="E39" s="1">
        <v>2.9981999999993598</v>
      </c>
      <c r="F39" s="1">
        <v>1.0000000000000001E-5</v>
      </c>
      <c r="G39" s="2">
        <v>3320000000</v>
      </c>
      <c r="H39" s="136"/>
      <c r="I39" s="134">
        <f t="shared" si="1"/>
        <v>2352.2824433593191</v>
      </c>
      <c r="J39" s="135">
        <f t="shared" si="0"/>
        <v>15419864.053852709</v>
      </c>
      <c r="K39" s="131">
        <f t="shared" si="2"/>
        <v>2.1453007843541565E+49</v>
      </c>
    </row>
    <row r="40" spans="1:11">
      <c r="A40" s="1">
        <v>36</v>
      </c>
      <c r="B40" s="2">
        <v>1.6700810000000001E+52</v>
      </c>
      <c r="C40" s="1">
        <v>2.0439999999999898</v>
      </c>
      <c r="D40" s="1">
        <v>1970</v>
      </c>
      <c r="E40" s="1">
        <v>3.0092999999993499</v>
      </c>
      <c r="F40" s="1">
        <v>1.0000000000000001E-5</v>
      </c>
      <c r="G40" s="2">
        <v>3340000000</v>
      </c>
      <c r="H40" s="136"/>
      <c r="I40" s="134">
        <f t="shared" si="1"/>
        <v>2362.5397521222076</v>
      </c>
      <c r="J40" s="135">
        <f t="shared" si="0"/>
        <v>14402627.214597743</v>
      </c>
      <c r="K40" s="131">
        <f t="shared" si="2"/>
        <v>2.0562578637686721E+49</v>
      </c>
    </row>
    <row r="41" spans="1:11">
      <c r="A41" s="1">
        <v>37</v>
      </c>
      <c r="B41" s="2">
        <v>1.6800815E+52</v>
      </c>
      <c r="C41" s="1">
        <v>2.0559999999999898</v>
      </c>
      <c r="D41" s="1">
        <v>1980</v>
      </c>
      <c r="E41" s="1">
        <v>3.0203999999993401</v>
      </c>
      <c r="F41" s="1">
        <v>1.0000000000000001E-5</v>
      </c>
      <c r="G41" s="2">
        <v>3360000000</v>
      </c>
      <c r="H41" s="136"/>
      <c r="I41" s="134">
        <f t="shared" si="1"/>
        <v>2372.7947944771699</v>
      </c>
      <c r="J41" s="135">
        <f t="shared" si="0"/>
        <v>13459007.314305143</v>
      </c>
      <c r="K41" s="131">
        <f t="shared" si="2"/>
        <v>1.9706794759908802E+49</v>
      </c>
    </row>
    <row r="42" spans="1:11">
      <c r="A42" s="1">
        <v>38</v>
      </c>
      <c r="B42" s="2">
        <v>1.6900820000000001E+52</v>
      </c>
      <c r="C42" s="1">
        <v>2.0679999999999898</v>
      </c>
      <c r="D42" s="1">
        <v>1990</v>
      </c>
      <c r="E42" s="1">
        <v>3.0314999999993302</v>
      </c>
      <c r="F42" s="1">
        <v>1.0000000000000001E-5</v>
      </c>
      <c r="G42" s="2">
        <v>3380000000</v>
      </c>
      <c r="H42" s="136"/>
      <c r="I42" s="134">
        <f t="shared" si="1"/>
        <v>2383.0476002371174</v>
      </c>
      <c r="J42" s="135">
        <f t="shared" si="0"/>
        <v>12583232.006852096</v>
      </c>
      <c r="K42" s="131">
        <f t="shared" si="2"/>
        <v>1.8884424631733985E+49</v>
      </c>
    </row>
    <row r="43" spans="1:11">
      <c r="A43" s="1">
        <v>39</v>
      </c>
      <c r="B43" s="2">
        <v>1.7000825E+52</v>
      </c>
      <c r="C43" s="1">
        <v>2.0799999999999899</v>
      </c>
      <c r="D43" s="1">
        <v>2000</v>
      </c>
      <c r="E43" s="1">
        <v>3.0425999999993198</v>
      </c>
      <c r="F43" s="1">
        <v>1.0000000000000001E-5</v>
      </c>
      <c r="G43" s="2">
        <v>3400000000</v>
      </c>
      <c r="H43" s="136"/>
      <c r="I43" s="134">
        <f t="shared" si="1"/>
        <v>2393.2981986943555</v>
      </c>
      <c r="J43" s="135">
        <f t="shared" si="0"/>
        <v>11770014.803142646</v>
      </c>
      <c r="K43" s="131">
        <f t="shared" si="2"/>
        <v>1.8094274598338317E+49</v>
      </c>
    </row>
    <row r="44" spans="1:11">
      <c r="A44" s="1">
        <v>40</v>
      </c>
      <c r="B44" s="2">
        <v>1.7100830000000001E+52</v>
      </c>
      <c r="C44" s="1">
        <v>2.0919999999999899</v>
      </c>
      <c r="D44" s="1">
        <v>2010</v>
      </c>
      <c r="E44" s="1">
        <v>3.05369999999931</v>
      </c>
      <c r="F44" s="1">
        <v>1.0000000000000001E-5</v>
      </c>
      <c r="G44" s="2">
        <v>3420000000</v>
      </c>
      <c r="H44" s="136"/>
      <c r="I44" s="134">
        <f t="shared" si="1"/>
        <v>2403.5466186318954</v>
      </c>
      <c r="J44" s="135">
        <f t="shared" si="0"/>
        <v>11014511.490853539</v>
      </c>
      <c r="K44" s="131">
        <f t="shared" si="2"/>
        <v>1.7335188061469371E+49</v>
      </c>
    </row>
    <row r="45" spans="1:11">
      <c r="A45" s="1">
        <v>41</v>
      </c>
      <c r="B45" s="2">
        <v>1.7200835E+52</v>
      </c>
      <c r="C45" s="1">
        <v>2.1039999999999899</v>
      </c>
      <c r="D45" s="1">
        <v>2020</v>
      </c>
      <c r="E45" s="1">
        <v>3.0647999999993001</v>
      </c>
      <c r="F45" s="1">
        <v>1.0000000000000001E-5</v>
      </c>
      <c r="G45" s="2">
        <v>3440000000</v>
      </c>
      <c r="H45" s="136"/>
      <c r="I45" s="134">
        <f t="shared" si="1"/>
        <v>2413.7928883344807</v>
      </c>
      <c r="J45" s="135">
        <f t="shared" si="0"/>
        <v>10312280.695606412</v>
      </c>
      <c r="K45" s="131">
        <f t="shared" si="2"/>
        <v>1.6606044615565596E+49</v>
      </c>
    </row>
    <row r="46" spans="1:11">
      <c r="A46" s="1">
        <v>42</v>
      </c>
      <c r="B46" s="2">
        <v>1.73008399999999E+52</v>
      </c>
      <c r="C46" s="1">
        <v>2.1159999999999899</v>
      </c>
      <c r="D46" s="1">
        <v>2030</v>
      </c>
      <c r="E46" s="1">
        <v>3.0758999999992902</v>
      </c>
      <c r="F46" s="1">
        <v>1.0000000000000001E-5</v>
      </c>
      <c r="G46" s="2">
        <v>3460000000</v>
      </c>
      <c r="H46" s="136"/>
      <c r="I46" s="134">
        <f t="shared" si="1"/>
        <v>2424.0370355993164</v>
      </c>
      <c r="J46" s="135">
        <f t="shared" si="0"/>
        <v>9659248.1686247047</v>
      </c>
      <c r="K46" s="131">
        <f t="shared" si="2"/>
        <v>1.5905759188234037E+49</v>
      </c>
    </row>
    <row r="47" spans="1:11">
      <c r="A47" s="1">
        <v>43</v>
      </c>
      <c r="B47" s="2">
        <v>1.7400844999999901E+52</v>
      </c>
      <c r="C47" s="1">
        <v>2.1279999999999899</v>
      </c>
      <c r="D47" s="1">
        <v>2040</v>
      </c>
      <c r="E47" s="1">
        <v>3.0869999999992799</v>
      </c>
      <c r="F47" s="1">
        <v>1.0000000000000001E-5</v>
      </c>
      <c r="G47" s="2">
        <v>3480000000</v>
      </c>
      <c r="H47" s="136"/>
      <c r="I47" s="134">
        <f t="shared" si="1"/>
        <v>2434.2790877465341</v>
      </c>
      <c r="J47" s="135">
        <f t="shared" si="0"/>
        <v>9051674.4295912292</v>
      </c>
      <c r="K47" s="131">
        <f t="shared" si="2"/>
        <v>1.5233281186161376E+49</v>
      </c>
    </row>
    <row r="48" spans="1:11">
      <c r="A48" s="1">
        <v>44</v>
      </c>
      <c r="B48" s="2">
        <v>1.75008499999999E+52</v>
      </c>
      <c r="C48" s="1">
        <v>2.1399999999999899</v>
      </c>
      <c r="D48" s="1">
        <v>2050</v>
      </c>
      <c r="E48" s="1">
        <v>3.09809999999927</v>
      </c>
      <c r="F48" s="1">
        <v>1.0000000000000001E-5</v>
      </c>
      <c r="G48" s="2">
        <v>3500000000</v>
      </c>
      <c r="H48" s="136"/>
      <c r="I48" s="134">
        <f t="shared" si="1"/>
        <v>2444.5190716293782</v>
      </c>
      <c r="J48" s="135">
        <f t="shared" si="0"/>
        <v>8486125.432267921</v>
      </c>
      <c r="K48" s="131">
        <f t="shared" si="2"/>
        <v>1.4587593647445696E+49</v>
      </c>
    </row>
    <row r="49" spans="1:11">
      <c r="A49" s="1">
        <v>45</v>
      </c>
      <c r="B49" s="2">
        <v>1.7600854999999901E+52</v>
      </c>
      <c r="C49" s="1">
        <v>2.1519999999999899</v>
      </c>
      <c r="D49" s="1">
        <v>2060</v>
      </c>
      <c r="E49" s="1">
        <v>3.1091999999992601</v>
      </c>
      <c r="F49" s="1">
        <v>1.0000000000000001E-5</v>
      </c>
      <c r="G49" s="2">
        <v>3520000000</v>
      </c>
      <c r="H49" s="136"/>
      <c r="I49" s="134">
        <f t="shared" si="1"/>
        <v>2454.7570136441409</v>
      </c>
      <c r="J49" s="135">
        <f t="shared" si="0"/>
        <v>7959445.95503591</v>
      </c>
      <c r="K49" s="131">
        <f t="shared" si="2"/>
        <v>1.3967712401262206E+49</v>
      </c>
    </row>
    <row r="50" spans="1:11">
      <c r="A50" s="1">
        <v>46</v>
      </c>
      <c r="B50" s="2">
        <v>1.77008599999999E+52</v>
      </c>
      <c r="C50" s="1">
        <v>2.1639999999999899</v>
      </c>
      <c r="D50" s="1">
        <v>2070</v>
      </c>
      <c r="E50" s="1">
        <v>3.1202999999992498</v>
      </c>
      <c r="F50" s="1">
        <v>1.0000000000000001E-5</v>
      </c>
      <c r="G50" s="2">
        <v>3540000000</v>
      </c>
      <c r="H50" s="136"/>
      <c r="I50" s="134">
        <f t="shared" si="1"/>
        <v>2464.9929397398378</v>
      </c>
      <c r="J50" s="135">
        <f t="shared" si="0"/>
        <v>7468735.4493389046</v>
      </c>
      <c r="K50" s="131">
        <f t="shared" si="2"/>
        <v>1.3372685235695225E+49</v>
      </c>
    </row>
    <row r="51" spans="1:11">
      <c r="A51" s="1">
        <v>47</v>
      </c>
      <c r="B51" s="2">
        <v>1.7800864999999901E+52</v>
      </c>
      <c r="C51" s="1">
        <v>2.1759999999999899</v>
      </c>
      <c r="D51" s="1">
        <v>2080</v>
      </c>
      <c r="E51" s="1">
        <v>3.1313999999992399</v>
      </c>
      <c r="F51" s="1">
        <v>1.0000000000000001E-5</v>
      </c>
      <c r="G51" s="2">
        <v>3560000000</v>
      </c>
      <c r="H51" s="136"/>
      <c r="I51" s="134">
        <f t="shared" si="1"/>
        <v>2475.2268754276433</v>
      </c>
      <c r="J51" s="135">
        <f t="shared" si="0"/>
        <v>7011326.1065022619</v>
      </c>
      <c r="K51" s="131">
        <f t="shared" si="2"/>
        <v>1.2801591074500174E+49</v>
      </c>
    </row>
    <row r="52" spans="1:11">
      <c r="A52" s="1">
        <v>48</v>
      </c>
      <c r="B52" s="2">
        <v>1.79008699999999E+52</v>
      </c>
      <c r="C52" s="1">
        <v>2.18799999999999</v>
      </c>
      <c r="D52" s="1">
        <v>2090</v>
      </c>
      <c r="E52" s="1">
        <v>3.1424999999992398</v>
      </c>
      <c r="F52" s="1">
        <v>1.0000000000000001E-5</v>
      </c>
      <c r="G52" s="2">
        <v>3580000000</v>
      </c>
      <c r="H52" s="136"/>
      <c r="I52" s="134">
        <f t="shared" si="1"/>
        <v>2485.4588457900854</v>
      </c>
      <c r="J52" s="135">
        <f t="shared" si="0"/>
        <v>6584762.927922491</v>
      </c>
      <c r="K52" s="131">
        <f t="shared" si="2"/>
        <v>1.2253539163489799E+49</v>
      </c>
    </row>
    <row r="53" spans="1:11">
      <c r="A53" s="1">
        <v>49</v>
      </c>
      <c r="B53" s="2">
        <v>1.8000874999999901E+52</v>
      </c>
      <c r="C53" s="1">
        <v>2.19999999999999</v>
      </c>
      <c r="D53" s="1">
        <v>2100</v>
      </c>
      <c r="E53" s="1">
        <v>3.1535999999992299</v>
      </c>
      <c r="F53" s="1">
        <v>1.0000000000000001E-5</v>
      </c>
      <c r="G53" s="2">
        <v>3600000000</v>
      </c>
      <c r="H53" s="136"/>
      <c r="I53" s="134">
        <f t="shared" si="1"/>
        <v>2495.6888754900151</v>
      </c>
      <c r="J53" s="135">
        <f t="shared" si="0"/>
        <v>6186785.6055223811</v>
      </c>
      <c r="K53" s="131">
        <f t="shared" si="2"/>
        <v>1.1727668267176252E+49</v>
      </c>
    </row>
    <row r="54" spans="1:11">
      <c r="A54" s="1">
        <v>50</v>
      </c>
      <c r="B54" s="2">
        <v>1.81008799999999E+52</v>
      </c>
      <c r="C54" s="1">
        <v>2.21199999999999</v>
      </c>
      <c r="D54" s="1">
        <v>2110</v>
      </c>
      <c r="E54" s="1">
        <v>3.16469999999922</v>
      </c>
      <c r="F54" s="1">
        <v>1.0000000000000001E-5</v>
      </c>
      <c r="G54" s="2">
        <v>3620000000</v>
      </c>
      <c r="H54" s="136"/>
      <c r="I54" s="134">
        <f t="shared" si="1"/>
        <v>2505.9169887793405</v>
      </c>
      <c r="J54" s="135">
        <f t="shared" si="0"/>
        <v>5815312.0389199639</v>
      </c>
      <c r="K54" s="131">
        <f t="shared" si="2"/>
        <v>1.12231458762336E+49</v>
      </c>
    </row>
    <row r="55" spans="1:11">
      <c r="A55" s="1">
        <v>51</v>
      </c>
      <c r="B55" s="2">
        <v>1.8200884999999901E+52</v>
      </c>
      <c r="C55" s="1">
        <v>2.22399999999999</v>
      </c>
      <c r="D55" s="1">
        <v>2120</v>
      </c>
      <c r="E55" s="1">
        <v>3.1757999999992101</v>
      </c>
      <c r="F55" s="1">
        <v>1.0000000000000001E-5</v>
      </c>
      <c r="G55" s="2">
        <v>3640000000</v>
      </c>
      <c r="H55" s="136"/>
      <c r="I55" s="134">
        <f t="shared" si="1"/>
        <v>2516.1432095075538</v>
      </c>
      <c r="J55" s="135">
        <f t="shared" si="0"/>
        <v>5468423.3332582563</v>
      </c>
      <c r="K55" s="131">
        <f t="shared" si="2"/>
        <v>1.0739167426297323E+49</v>
      </c>
    </row>
    <row r="56" spans="1:11">
      <c r="A56" s="1">
        <v>52</v>
      </c>
      <c r="B56" s="2">
        <v>1.8300889999999899E+52</v>
      </c>
      <c r="C56" s="1">
        <v>2.23599999999999</v>
      </c>
      <c r="D56" s="1">
        <v>2130</v>
      </c>
      <c r="E56" s="1">
        <v>3.1868999999991998</v>
      </c>
      <c r="F56" s="1">
        <v>1.0000000000000001E-5</v>
      </c>
      <c r="G56" s="2">
        <v>3660000000</v>
      </c>
      <c r="H56" s="136"/>
      <c r="I56" s="134">
        <f t="shared" si="1"/>
        <v>2526.3675611300446</v>
      </c>
      <c r="J56" s="135">
        <f t="shared" si="0"/>
        <v>5144350.1372721167</v>
      </c>
      <c r="K56" s="131">
        <f t="shared" si="2"/>
        <v>1.0274955528553009E+49</v>
      </c>
    </row>
    <row r="57" spans="1:11">
      <c r="A57" s="1">
        <v>53</v>
      </c>
      <c r="B57" s="2">
        <v>1.8400894999999901E+52</v>
      </c>
      <c r="C57" s="1">
        <v>2.24799999999999</v>
      </c>
      <c r="D57" s="1">
        <v>2140</v>
      </c>
      <c r="E57" s="1">
        <v>3.1979999999991899</v>
      </c>
      <c r="F57" s="1">
        <v>1.0000000000000001E-5</v>
      </c>
      <c r="G57" s="2">
        <v>3680000000</v>
      </c>
      <c r="H57" s="136"/>
      <c r="I57" s="134">
        <f t="shared" si="1"/>
        <v>2536.590066716205</v>
      </c>
      <c r="J57" s="135">
        <f t="shared" si="0"/>
        <v>4841460.1951743923</v>
      </c>
      <c r="K57" s="131">
        <f t="shared" si="2"/>
        <v>9.8297592125198934E+48</v>
      </c>
    </row>
    <row r="58" spans="1:11">
      <c r="A58" s="1">
        <v>54</v>
      </c>
      <c r="B58" s="2">
        <v>1.8500899999999899E+52</v>
      </c>
      <c r="C58" s="1">
        <v>2.25999999999999</v>
      </c>
      <c r="D58" s="1">
        <v>2150</v>
      </c>
      <c r="E58" s="1">
        <v>3.2090999999991801</v>
      </c>
      <c r="F58" s="1">
        <v>1.0000000000000001E-5</v>
      </c>
      <c r="G58" s="2">
        <v>3700000000</v>
      </c>
      <c r="H58" s="136"/>
      <c r="I58" s="134">
        <f t="shared" si="1"/>
        <v>2546.8107489573385</v>
      </c>
      <c r="J58" s="135">
        <f t="shared" si="0"/>
        <v>4558246.998479398</v>
      </c>
      <c r="K58" s="131">
        <f t="shared" si="2"/>
        <v>9.4028531813853093E+48</v>
      </c>
    </row>
    <row r="59" spans="1:11">
      <c r="A59" s="1">
        <v>55</v>
      </c>
      <c r="B59" s="2">
        <v>1.8600904999999901E+52</v>
      </c>
      <c r="C59" s="1">
        <v>2.27199999999999</v>
      </c>
      <c r="D59" s="1">
        <v>2160</v>
      </c>
      <c r="E59" s="1">
        <v>3.2201999999991702</v>
      </c>
      <c r="F59" s="1">
        <v>1.0000000000000001E-5</v>
      </c>
      <c r="G59" s="2">
        <v>3720000000</v>
      </c>
      <c r="H59" s="136"/>
      <c r="I59" s="134">
        <f t="shared" si="1"/>
        <v>2557.0296301743733</v>
      </c>
      <c r="J59" s="135">
        <f t="shared" si="0"/>
        <v>4293319.4351160731</v>
      </c>
      <c r="K59" s="131">
        <f t="shared" si="2"/>
        <v>8.9935370801994525E+48</v>
      </c>
    </row>
    <row r="60" spans="1:11">
      <c r="A60" s="1">
        <v>56</v>
      </c>
      <c r="B60" s="2">
        <v>1.8700909999999899E+52</v>
      </c>
      <c r="C60" s="1">
        <v>2.28399999999999</v>
      </c>
      <c r="D60" s="1">
        <v>2170</v>
      </c>
      <c r="E60" s="1">
        <v>3.2312999999991598</v>
      </c>
      <c r="F60" s="1">
        <v>1.0000000000000001E-5</v>
      </c>
      <c r="G60" s="2">
        <v>3740000000</v>
      </c>
      <c r="H60" s="136"/>
      <c r="I60" s="134">
        <f t="shared" si="1"/>
        <v>2567.2467323253886</v>
      </c>
      <c r="J60" s="135">
        <f t="shared" si="0"/>
        <v>4045392.3432572749</v>
      </c>
      <c r="K60" s="131">
        <f t="shared" si="2"/>
        <v>8.601134777196993E+48</v>
      </c>
    </row>
    <row r="61" spans="1:11">
      <c r="A61" s="1">
        <v>57</v>
      </c>
      <c r="B61" s="2">
        <v>1.8800914999999901E+52</v>
      </c>
      <c r="C61" s="1">
        <v>2.29599999999999</v>
      </c>
      <c r="D61" s="1">
        <v>2180</v>
      </c>
      <c r="E61" s="1">
        <v>3.24239999999915</v>
      </c>
      <c r="F61" s="1">
        <v>1.0000000000000001E-5</v>
      </c>
      <c r="G61" s="2">
        <v>3760000000</v>
      </c>
      <c r="H61" s="136"/>
      <c r="I61" s="134">
        <f t="shared" si="1"/>
        <v>2577.4620770129586</v>
      </c>
      <c r="J61" s="135">
        <f t="shared" si="0"/>
        <v>3813277.8863293971</v>
      </c>
      <c r="K61" s="131">
        <f t="shared" si="2"/>
        <v>8.224993658471602E+48</v>
      </c>
    </row>
    <row r="62" spans="1:11">
      <c r="A62" s="1">
        <v>58</v>
      </c>
      <c r="B62" s="2">
        <v>1.8900919999999899E+52</v>
      </c>
      <c r="C62" s="1">
        <v>2.3079999999999901</v>
      </c>
      <c r="D62" s="1">
        <v>2190</v>
      </c>
      <c r="E62" s="1">
        <v>3.2534999999991401</v>
      </c>
      <c r="F62" s="1">
        <v>1.0000000000000001E-5</v>
      </c>
      <c r="G62" s="2">
        <v>3780000000</v>
      </c>
      <c r="H62" s="136"/>
      <c r="I62" s="134">
        <f t="shared" si="1"/>
        <v>2587.6756854913169</v>
      </c>
      <c r="J62" s="135">
        <f t="shared" si="0"/>
        <v>3595877.6737794653</v>
      </c>
      <c r="K62" s="131">
        <f t="shared" si="2"/>
        <v>7.8644839361908417E+48</v>
      </c>
    </row>
    <row r="63" spans="1:11">
      <c r="A63" s="1">
        <v>59</v>
      </c>
      <c r="B63" s="2">
        <v>1.90009249999999E+52</v>
      </c>
      <c r="C63" s="1">
        <v>2.3199999999999901</v>
      </c>
      <c r="D63" s="1">
        <v>2200</v>
      </c>
      <c r="E63" s="1">
        <v>3.2645999999991302</v>
      </c>
      <c r="F63" s="1">
        <v>1.0000000000000001E-5</v>
      </c>
      <c r="G63" s="2">
        <v>3800000000</v>
      </c>
      <c r="H63" s="136"/>
      <c r="I63" s="134">
        <f t="shared" si="1"/>
        <v>2597.8875786733511</v>
      </c>
      <c r="J63" s="135">
        <f t="shared" si="0"/>
        <v>3392175.5594644416</v>
      </c>
      <c r="K63" s="131">
        <f t="shared" si="2"/>
        <v>7.5189979705032819E+48</v>
      </c>
    </row>
    <row r="64" spans="1:11">
      <c r="A64" s="1">
        <v>60</v>
      </c>
      <c r="B64" s="2">
        <v>1.9100929999999899E+52</v>
      </c>
      <c r="C64" s="1">
        <v>2.3319999999999901</v>
      </c>
      <c r="D64" s="1">
        <v>2210</v>
      </c>
      <c r="E64" s="1">
        <v>3.2756999999991199</v>
      </c>
      <c r="F64" s="1">
        <v>1.0000000000000001E-5</v>
      </c>
      <c r="G64" s="2">
        <v>3820000000</v>
      </c>
      <c r="H64" s="136"/>
      <c r="I64" s="134">
        <f t="shared" si="1"/>
        <v>2608.0977771374251</v>
      </c>
      <c r="J64" s="135">
        <f t="shared" si="0"/>
        <v>3201231.0560765942</v>
      </c>
      <c r="K64" s="131">
        <f t="shared" si="2"/>
        <v>7.1879496052561028E+48</v>
      </c>
    </row>
    <row r="65" spans="1:11">
      <c r="A65" s="1">
        <v>61</v>
      </c>
      <c r="B65" s="2">
        <v>1.92009349999999E+52</v>
      </c>
      <c r="C65" s="1">
        <v>2.3439999999999901</v>
      </c>
      <c r="D65" s="1">
        <v>2220</v>
      </c>
      <c r="E65" s="1">
        <v>3.28679999999911</v>
      </c>
      <c r="F65" s="1">
        <v>1.0000000000000001E-5</v>
      </c>
      <c r="G65" s="2">
        <v>3840000000</v>
      </c>
      <c r="H65" s="136"/>
      <c r="I65" s="134">
        <f t="shared" si="1"/>
        <v>2618.3063011340441</v>
      </c>
      <c r="J65" s="135">
        <f t="shared" si="0"/>
        <v>3022173.3099087169</v>
      </c>
      <c r="K65" s="131">
        <f t="shared" si="2"/>
        <v>6.870773517610083E+48</v>
      </c>
    </row>
    <row r="66" spans="1:11">
      <c r="A66" s="1">
        <v>62</v>
      </c>
      <c r="B66" s="2">
        <v>1.9300939999999899E+52</v>
      </c>
      <c r="C66" s="1">
        <v>2.3559999999999901</v>
      </c>
      <c r="D66" s="1">
        <v>2230</v>
      </c>
      <c r="E66" s="1">
        <v>3.2978999999991001</v>
      </c>
      <c r="F66" s="1">
        <v>1.0000000000000001E-5</v>
      </c>
      <c r="G66" s="2">
        <v>3860000000</v>
      </c>
      <c r="H66" s="136"/>
      <c r="I66" s="134">
        <f t="shared" si="1"/>
        <v>2628.5131705923582</v>
      </c>
      <c r="J66" s="135">
        <f t="shared" si="0"/>
        <v>2854195.5855615102</v>
      </c>
      <c r="K66" s="131">
        <f t="shared" si="2"/>
        <v>6.5669245816094097E+48</v>
      </c>
    </row>
    <row r="67" spans="1:11">
      <c r="A67" s="1">
        <v>63</v>
      </c>
      <c r="B67" s="2">
        <v>1.94009449999999E+52</v>
      </c>
      <c r="C67" s="1">
        <v>2.3679999999999901</v>
      </c>
      <c r="D67" s="1">
        <v>2240</v>
      </c>
      <c r="E67" s="1">
        <v>3.3089999999990898</v>
      </c>
      <c r="F67" s="1">
        <v>1.0000000000000001E-5</v>
      </c>
      <c r="G67" s="2">
        <v>3880000000</v>
      </c>
      <c r="H67" s="136"/>
      <c r="I67" s="134">
        <f t="shared" si="1"/>
        <v>2638.7184051265085</v>
      </c>
      <c r="J67" s="135">
        <f t="shared" si="0"/>
        <v>2696550.214966367</v>
      </c>
      <c r="K67" s="131">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2"/>
  <dimension ref="A1:H35"/>
  <sheetViews>
    <sheetView workbookViewId="0"/>
  </sheetViews>
  <sheetFormatPr defaultRowHeight="12.75"/>
  <cols>
    <col min="1" max="1" width="3.86328125" customWidth="1"/>
    <col min="2" max="2" width="12" bestFit="1" customWidth="1"/>
    <col min="4" max="4" width="11" bestFit="1" customWidth="1"/>
    <col min="5" max="5" width="10.86328125" customWidth="1"/>
    <col min="6" max="6" width="13.3984375" customWidth="1"/>
    <col min="7" max="7" width="18.1328125" customWidth="1"/>
    <col min="8" max="8" width="6.3984375" customWidth="1"/>
  </cols>
  <sheetData>
    <row r="1" spans="1:8" ht="13.15">
      <c r="A1" s="38" t="s">
        <v>40</v>
      </c>
    </row>
    <row r="2" spans="1:8" ht="13.15">
      <c r="A2" s="38" t="s">
        <v>33</v>
      </c>
    </row>
    <row r="3" spans="1:8" ht="13.15" thickBot="1"/>
    <row r="4" spans="1:8" ht="26.65" thickBot="1">
      <c r="A4" s="39" t="s">
        <v>34</v>
      </c>
      <c r="B4" s="40" t="s">
        <v>35</v>
      </c>
      <c r="C4" s="40" t="s">
        <v>36</v>
      </c>
      <c r="D4" s="40" t="s">
        <v>37</v>
      </c>
      <c r="E4" s="40" t="s">
        <v>38</v>
      </c>
      <c r="F4" s="41" t="s">
        <v>41</v>
      </c>
      <c r="G4" s="41" t="s">
        <v>42</v>
      </c>
      <c r="H4" s="42" t="s">
        <v>23</v>
      </c>
    </row>
    <row r="5" spans="1:8" ht="13.15" thickBot="1">
      <c r="A5" s="43">
        <v>0</v>
      </c>
      <c r="B5" s="44">
        <v>1</v>
      </c>
      <c r="C5" s="44">
        <f>(EXP(B5)-2-B5)^2</f>
        <v>7.9365128176378891E-2</v>
      </c>
      <c r="D5" s="45">
        <f>IF(A5=0,$G$5,
                    IF(C6&gt;=C5,
                             IF(ABS(D5)&lt;($F$5/$H$5),
                             D5,-D5/$H$5),
           D5))</f>
        <v>1</v>
      </c>
      <c r="E5" s="46">
        <f>$F$7-B5</f>
        <v>0.14619322062058271</v>
      </c>
      <c r="F5" s="47">
        <v>1E-3</v>
      </c>
      <c r="G5" s="48">
        <v>1</v>
      </c>
      <c r="H5" s="49">
        <v>4</v>
      </c>
    </row>
    <row r="6" spans="1:8">
      <c r="A6" s="4">
        <v>1</v>
      </c>
      <c r="B6" s="1">
        <f>B5+D5</f>
        <v>2</v>
      </c>
      <c r="C6" s="1">
        <f t="shared" ref="C6:C35" si="0">(EXP(B6)-2-B6)^2</f>
        <v>11.485701241699038</v>
      </c>
      <c r="D6" s="50">
        <f>IF(A6=0,$G$5,
                    IF(C6&gt;=C5,
                             IF(ABS(D5)&lt;($F$5/$H$5),
                             0,-D5/$H$5),
           D5))</f>
        <v>-0.25</v>
      </c>
      <c r="E6" s="51">
        <f t="shared" ref="E6:E35" si="1">$F$7-B6</f>
        <v>-0.85380677937941729</v>
      </c>
      <c r="F6" s="52" t="s">
        <v>39</v>
      </c>
    </row>
    <row r="7" spans="1:8" ht="13.15" thickBot="1">
      <c r="A7" s="4">
        <v>2</v>
      </c>
      <c r="B7" s="1">
        <f t="shared" ref="B7:B35" si="2">B6+D6</f>
        <v>1.75</v>
      </c>
      <c r="C7" s="1">
        <f t="shared" si="0"/>
        <v>4.0184318886493369</v>
      </c>
      <c r="D7" s="50">
        <f t="shared" ref="D7:D35" si="3">IF(A7=0,$G$5,
                    IF(C7&gt;=C6,
                             IF(ABS(D6)&lt;($F$5/$H$5),
                             0,-D6/$H$5),
           D6))</f>
        <v>-0.25</v>
      </c>
      <c r="E7" s="51">
        <f t="shared" si="1"/>
        <v>-0.60380677937941729</v>
      </c>
      <c r="F7" s="53">
        <v>1.1461932206205827</v>
      </c>
    </row>
    <row r="8" spans="1:8">
      <c r="A8" s="4">
        <v>3</v>
      </c>
      <c r="B8" s="1">
        <f t="shared" si="2"/>
        <v>1.5</v>
      </c>
      <c r="C8" s="1">
        <f t="shared" si="0"/>
        <v>0.96371343082121341</v>
      </c>
      <c r="D8" s="50">
        <f t="shared" si="3"/>
        <v>-0.25</v>
      </c>
      <c r="E8" s="51">
        <f t="shared" si="1"/>
        <v>-0.35380677937941729</v>
      </c>
    </row>
    <row r="9" spans="1:8">
      <c r="A9" s="4">
        <v>4</v>
      </c>
      <c r="B9" s="1">
        <f t="shared" si="2"/>
        <v>1.25</v>
      </c>
      <c r="C9" s="1">
        <f t="shared" si="0"/>
        <v>5.7764737201504518E-2</v>
      </c>
      <c r="D9" s="50">
        <f t="shared" si="3"/>
        <v>-0.25</v>
      </c>
      <c r="E9" s="51">
        <f t="shared" si="1"/>
        <v>-0.10380677937941729</v>
      </c>
    </row>
    <row r="10" spans="1:8">
      <c r="A10" s="4">
        <v>5</v>
      </c>
      <c r="B10" s="1">
        <f t="shared" si="2"/>
        <v>1</v>
      </c>
      <c r="C10" s="1">
        <f t="shared" si="0"/>
        <v>7.9365128176378891E-2</v>
      </c>
      <c r="D10" s="50">
        <f t="shared" si="3"/>
        <v>6.25E-2</v>
      </c>
      <c r="E10" s="51">
        <f t="shared" si="1"/>
        <v>0.14619322062058271</v>
      </c>
    </row>
    <row r="11" spans="1:8">
      <c r="A11" s="4">
        <v>6</v>
      </c>
      <c r="B11" s="1">
        <f t="shared" si="2"/>
        <v>1.0625</v>
      </c>
      <c r="C11" s="1">
        <f t="shared" si="0"/>
        <v>2.8528580075228831E-2</v>
      </c>
      <c r="D11" s="50">
        <f t="shared" si="3"/>
        <v>6.25E-2</v>
      </c>
      <c r="E11" s="51">
        <f t="shared" si="1"/>
        <v>8.3693220620582709E-2</v>
      </c>
    </row>
    <row r="12" spans="1:8">
      <c r="A12" s="4">
        <v>7</v>
      </c>
      <c r="B12" s="1">
        <f t="shared" si="2"/>
        <v>1.125</v>
      </c>
      <c r="C12" s="1">
        <f t="shared" si="0"/>
        <v>2.0055306208304571E-3</v>
      </c>
      <c r="D12" s="50">
        <f t="shared" si="3"/>
        <v>6.25E-2</v>
      </c>
      <c r="E12" s="51">
        <f t="shared" si="1"/>
        <v>2.1193220620582709E-2</v>
      </c>
    </row>
    <row r="13" spans="1:8">
      <c r="A13" s="4">
        <v>8</v>
      </c>
      <c r="B13" s="1">
        <f t="shared" si="2"/>
        <v>1.1875</v>
      </c>
      <c r="C13" s="1">
        <f t="shared" si="0"/>
        <v>8.3491654673105518E-3</v>
      </c>
      <c r="D13" s="50">
        <f t="shared" si="3"/>
        <v>-1.5625E-2</v>
      </c>
      <c r="E13" s="51">
        <f t="shared" si="1"/>
        <v>-4.1306779379417291E-2</v>
      </c>
    </row>
    <row r="14" spans="1:8">
      <c r="A14" s="4">
        <v>9</v>
      </c>
      <c r="B14" s="1">
        <f t="shared" si="2"/>
        <v>1.171875</v>
      </c>
      <c r="C14" s="1">
        <f t="shared" si="0"/>
        <v>3.1544557697711748E-3</v>
      </c>
      <c r="D14" s="50">
        <f t="shared" si="3"/>
        <v>-1.5625E-2</v>
      </c>
      <c r="E14" s="51">
        <f t="shared" si="1"/>
        <v>-2.5681779379417291E-2</v>
      </c>
    </row>
    <row r="15" spans="1:8">
      <c r="A15" s="4">
        <v>10</v>
      </c>
      <c r="B15" s="1">
        <f t="shared" si="2"/>
        <v>1.15625</v>
      </c>
      <c r="C15" s="1">
        <f t="shared" si="0"/>
        <v>4.7277664113671615E-4</v>
      </c>
      <c r="D15" s="50">
        <f t="shared" si="3"/>
        <v>-1.5625E-2</v>
      </c>
      <c r="E15" s="51">
        <f t="shared" si="1"/>
        <v>-1.0056779379417291E-2</v>
      </c>
    </row>
    <row r="16" spans="1:8">
      <c r="A16" s="4">
        <v>11</v>
      </c>
      <c r="B16" s="1">
        <f t="shared" si="2"/>
        <v>1.140625</v>
      </c>
      <c r="C16" s="1">
        <f t="shared" si="0"/>
        <v>1.416526947390927E-4</v>
      </c>
      <c r="D16" s="50">
        <f t="shared" si="3"/>
        <v>-1.5625E-2</v>
      </c>
      <c r="E16" s="51">
        <f t="shared" si="1"/>
        <v>5.5682206205827089E-3</v>
      </c>
    </row>
    <row r="17" spans="1:5">
      <c r="A17" s="4">
        <v>12</v>
      </c>
      <c r="B17" s="1">
        <f t="shared" si="2"/>
        <v>1.125</v>
      </c>
      <c r="C17" s="1">
        <f t="shared" si="0"/>
        <v>2.0055306208304571E-3</v>
      </c>
      <c r="D17" s="50">
        <f t="shared" si="3"/>
        <v>3.90625E-3</v>
      </c>
      <c r="E17" s="51">
        <f t="shared" si="1"/>
        <v>2.1193220620582709E-2</v>
      </c>
    </row>
    <row r="18" spans="1:5">
      <c r="A18" s="4">
        <v>13</v>
      </c>
      <c r="B18" s="1">
        <f t="shared" si="2"/>
        <v>1.12890625</v>
      </c>
      <c r="C18" s="1">
        <f t="shared" si="0"/>
        <v>1.342033338663154E-3</v>
      </c>
      <c r="D18" s="50">
        <f t="shared" si="3"/>
        <v>3.90625E-3</v>
      </c>
      <c r="E18" s="51">
        <f t="shared" si="1"/>
        <v>1.7286970620582709E-2</v>
      </c>
    </row>
    <row r="19" spans="1:5">
      <c r="A19" s="4">
        <v>14</v>
      </c>
      <c r="B19" s="1">
        <f t="shared" si="2"/>
        <v>1.1328125</v>
      </c>
      <c r="C19" s="1">
        <f t="shared" si="0"/>
        <v>8.0867496484974047E-4</v>
      </c>
      <c r="D19" s="50">
        <f t="shared" si="3"/>
        <v>3.90625E-3</v>
      </c>
      <c r="E19" s="51">
        <f t="shared" si="1"/>
        <v>1.3380720620582709E-2</v>
      </c>
    </row>
    <row r="20" spans="1:5">
      <c r="A20" s="4">
        <v>15</v>
      </c>
      <c r="B20" s="1">
        <f t="shared" si="2"/>
        <v>1.13671875</v>
      </c>
      <c r="C20" s="1">
        <f t="shared" si="0"/>
        <v>4.0776853990533054E-4</v>
      </c>
      <c r="D20" s="50">
        <f t="shared" si="3"/>
        <v>3.90625E-3</v>
      </c>
      <c r="E20" s="51">
        <f t="shared" si="1"/>
        <v>9.4744706205827089E-3</v>
      </c>
    </row>
    <row r="21" spans="1:5">
      <c r="A21" s="4">
        <v>16</v>
      </c>
      <c r="B21" s="1">
        <f t="shared" si="2"/>
        <v>1.140625</v>
      </c>
      <c r="C21" s="1">
        <f t="shared" si="0"/>
        <v>1.416526947390927E-4</v>
      </c>
      <c r="D21" s="50">
        <f t="shared" si="3"/>
        <v>3.90625E-3</v>
      </c>
      <c r="E21" s="51">
        <f t="shared" si="1"/>
        <v>5.5682206205827089E-3</v>
      </c>
    </row>
    <row r="22" spans="1:5">
      <c r="A22" s="4">
        <v>17</v>
      </c>
      <c r="B22" s="1">
        <f t="shared" si="2"/>
        <v>1.14453125</v>
      </c>
      <c r="C22" s="1">
        <f t="shared" si="0"/>
        <v>1.2691886207864499E-5</v>
      </c>
      <c r="D22" s="50">
        <f t="shared" si="3"/>
        <v>3.90625E-3</v>
      </c>
      <c r="E22" s="51">
        <f t="shared" si="1"/>
        <v>1.6619706205827089E-3</v>
      </c>
    </row>
    <row r="23" spans="1:5">
      <c r="A23" s="4">
        <v>18</v>
      </c>
      <c r="B23" s="1">
        <f t="shared" si="2"/>
        <v>1.1484375</v>
      </c>
      <c r="C23" s="1">
        <f t="shared" si="0"/>
        <v>2.3276634675889716E-5</v>
      </c>
      <c r="D23" s="50">
        <f t="shared" si="3"/>
        <v>-9.765625E-4</v>
      </c>
      <c r="E23" s="51">
        <f t="shared" si="1"/>
        <v>-2.2442793794172911E-3</v>
      </c>
    </row>
    <row r="24" spans="1:5">
      <c r="A24" s="4">
        <v>19</v>
      </c>
      <c r="B24" s="1">
        <f t="shared" si="2"/>
        <v>1.1474609375</v>
      </c>
      <c r="C24" s="1">
        <f t="shared" si="0"/>
        <v>7.41633333714006E-6</v>
      </c>
      <c r="D24" s="50">
        <f t="shared" si="3"/>
        <v>-9.765625E-4</v>
      </c>
      <c r="E24" s="51">
        <f t="shared" si="1"/>
        <v>-1.2677168794172911E-3</v>
      </c>
    </row>
    <row r="25" spans="1:5">
      <c r="A25" s="4">
        <v>20</v>
      </c>
      <c r="B25" s="1">
        <f t="shared" si="2"/>
        <v>1.146484375</v>
      </c>
      <c r="C25" s="1">
        <f t="shared" si="0"/>
        <v>3.9063365126692995E-7</v>
      </c>
      <c r="D25" s="50">
        <f t="shared" si="3"/>
        <v>-9.765625E-4</v>
      </c>
      <c r="E25" s="51">
        <f t="shared" si="1"/>
        <v>-2.9115437941729105E-4</v>
      </c>
    </row>
    <row r="26" spans="1:5">
      <c r="A26" s="4">
        <v>21</v>
      </c>
      <c r="B26" s="1">
        <f t="shared" si="2"/>
        <v>1.1455078125</v>
      </c>
      <c r="C26" s="1">
        <f t="shared" si="0"/>
        <v>2.1617215566706576E-6</v>
      </c>
      <c r="D26" s="50">
        <f t="shared" si="3"/>
        <v>2.44140625E-4</v>
      </c>
      <c r="E26" s="51">
        <f t="shared" si="1"/>
        <v>6.8540812058270895E-4</v>
      </c>
    </row>
    <row r="27" spans="1:5">
      <c r="A27" s="4">
        <v>22</v>
      </c>
      <c r="B27" s="1">
        <f t="shared" si="2"/>
        <v>1.145751953125</v>
      </c>
      <c r="C27" s="1">
        <f t="shared" si="0"/>
        <v>8.9631481723075302E-7</v>
      </c>
      <c r="D27" s="50">
        <f t="shared" si="3"/>
        <v>2.44140625E-4</v>
      </c>
      <c r="E27" s="51">
        <f t="shared" si="1"/>
        <v>4.4126749558270895E-4</v>
      </c>
    </row>
    <row r="28" spans="1:5">
      <c r="A28" s="4">
        <v>23</v>
      </c>
      <c r="B28" s="1">
        <f t="shared" si="2"/>
        <v>1.14599609375</v>
      </c>
      <c r="C28" s="1">
        <f t="shared" si="0"/>
        <v>1.7893849926535451E-7</v>
      </c>
      <c r="D28" s="50">
        <f t="shared" si="3"/>
        <v>2.44140625E-4</v>
      </c>
      <c r="E28" s="51">
        <f t="shared" si="1"/>
        <v>1.9712687058270895E-4</v>
      </c>
    </row>
    <row r="29" spans="1:5">
      <c r="A29" s="4">
        <v>24</v>
      </c>
      <c r="B29" s="1">
        <f t="shared" si="2"/>
        <v>1.146240234375</v>
      </c>
      <c r="C29" s="1">
        <f t="shared" si="0"/>
        <v>1.0181632970250794E-8</v>
      </c>
      <c r="D29" s="50">
        <f t="shared" si="3"/>
        <v>2.44140625E-4</v>
      </c>
      <c r="E29" s="51">
        <f t="shared" si="1"/>
        <v>-4.7013754417291054E-5</v>
      </c>
    </row>
    <row r="30" spans="1:5">
      <c r="A30" s="4">
        <v>25</v>
      </c>
      <c r="B30" s="1">
        <f t="shared" si="2"/>
        <v>1.146484375</v>
      </c>
      <c r="C30" s="1">
        <f t="shared" si="0"/>
        <v>3.9063365126692995E-7</v>
      </c>
      <c r="D30" s="50">
        <f t="shared" si="3"/>
        <v>0</v>
      </c>
      <c r="E30" s="51">
        <f t="shared" si="1"/>
        <v>-2.9115437941729105E-4</v>
      </c>
    </row>
    <row r="31" spans="1:5">
      <c r="A31" s="4">
        <v>26</v>
      </c>
      <c r="B31" s="1">
        <f t="shared" si="2"/>
        <v>1.146484375</v>
      </c>
      <c r="C31" s="1">
        <f t="shared" si="0"/>
        <v>3.9063365126692995E-7</v>
      </c>
      <c r="D31" s="50">
        <f t="shared" si="3"/>
        <v>0</v>
      </c>
      <c r="E31" s="51">
        <f t="shared" si="1"/>
        <v>-2.9115437941729105E-4</v>
      </c>
    </row>
    <row r="32" spans="1:5">
      <c r="A32" s="4">
        <v>27</v>
      </c>
      <c r="B32" s="1">
        <f t="shared" si="2"/>
        <v>1.146484375</v>
      </c>
      <c r="C32" s="1">
        <f t="shared" si="0"/>
        <v>3.9063365126692995E-7</v>
      </c>
      <c r="D32" s="50">
        <f t="shared" si="3"/>
        <v>0</v>
      </c>
      <c r="E32" s="51">
        <f t="shared" si="1"/>
        <v>-2.9115437941729105E-4</v>
      </c>
    </row>
    <row r="33" spans="1:5">
      <c r="A33" s="4">
        <v>28</v>
      </c>
      <c r="B33" s="1">
        <f t="shared" si="2"/>
        <v>1.146484375</v>
      </c>
      <c r="C33" s="1">
        <f t="shared" si="0"/>
        <v>3.9063365126692995E-7</v>
      </c>
      <c r="D33" s="50">
        <f t="shared" si="3"/>
        <v>0</v>
      </c>
      <c r="E33" s="51">
        <f t="shared" si="1"/>
        <v>-2.9115437941729105E-4</v>
      </c>
    </row>
    <row r="34" spans="1:5">
      <c r="A34" s="4">
        <v>29</v>
      </c>
      <c r="B34" s="1">
        <f t="shared" si="2"/>
        <v>1.146484375</v>
      </c>
      <c r="C34" s="1">
        <f t="shared" si="0"/>
        <v>3.9063365126692995E-7</v>
      </c>
      <c r="D34" s="50">
        <f t="shared" si="3"/>
        <v>0</v>
      </c>
      <c r="E34" s="51">
        <f t="shared" si="1"/>
        <v>-2.9115437941729105E-4</v>
      </c>
    </row>
    <row r="35" spans="1:5" ht="13.15" thickBot="1">
      <c r="A35" s="5">
        <v>30</v>
      </c>
      <c r="B35" s="6">
        <f t="shared" si="2"/>
        <v>1.146484375</v>
      </c>
      <c r="C35" s="6">
        <f t="shared" si="0"/>
        <v>3.9063365126692995E-7</v>
      </c>
      <c r="D35" s="54">
        <f t="shared" si="3"/>
        <v>0</v>
      </c>
      <c r="E35" s="55">
        <f t="shared" si="1"/>
        <v>-2.9115437941729105E-4</v>
      </c>
    </row>
  </sheetData>
  <phoneticPr fontId="2" type="noConversion"/>
  <conditionalFormatting sqref="D5:D35">
    <cfRule type="expression" dxfId="6" priority="1" stopIfTrue="1">
      <formula>$A$7=0</formula>
    </cfRule>
  </conditionalFormatting>
  <pageMargins left="0.75" right="0.75" top="1" bottom="1" header="0.5" footer="0.5"/>
  <pageSetup paperSize="9" orientation="portrait" horizontalDpi="200" verticalDpi="2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3"/>
  <dimension ref="A1:O64"/>
  <sheetViews>
    <sheetView workbookViewId="0">
      <selection activeCell="N7" sqref="N7"/>
    </sheetView>
  </sheetViews>
  <sheetFormatPr defaultRowHeight="12.75"/>
  <cols>
    <col min="1" max="1" width="4.86328125" customWidth="1"/>
    <col min="2" max="2" width="8" bestFit="1" customWidth="1"/>
    <col min="3" max="3" width="10.1328125" customWidth="1"/>
    <col min="4" max="4" width="14.59765625" customWidth="1"/>
    <col min="5" max="5" width="13.59765625" customWidth="1"/>
    <col min="6" max="6" width="16.86328125" customWidth="1"/>
    <col min="7" max="7" width="9.1328125" customWidth="1"/>
    <col min="8" max="8" width="15.1328125" customWidth="1"/>
    <col min="9" max="9" width="16.86328125" customWidth="1"/>
    <col min="10" max="10" width="8" customWidth="1"/>
    <col min="14" max="14" width="7.73046875" customWidth="1"/>
    <col min="15" max="15" width="6.265625" customWidth="1"/>
    <col min="16" max="16" width="7" customWidth="1"/>
    <col min="17" max="17" width="5" customWidth="1"/>
  </cols>
  <sheetData>
    <row r="1" spans="1:15" ht="17.25" customHeight="1">
      <c r="A1" s="148" t="s">
        <v>72</v>
      </c>
      <c r="B1" s="149"/>
      <c r="C1" s="149"/>
      <c r="D1" s="150"/>
      <c r="E1" s="148" t="s">
        <v>73</v>
      </c>
      <c r="F1" s="149"/>
      <c r="G1" s="149"/>
      <c r="H1" s="149"/>
      <c r="I1" s="149"/>
      <c r="J1" s="150"/>
      <c r="K1" s="112"/>
      <c r="L1" s="112"/>
      <c r="M1" s="112"/>
      <c r="N1" s="107"/>
      <c r="O1" s="107"/>
    </row>
    <row r="2" spans="1:15" ht="16.5" customHeight="1">
      <c r="A2" s="151"/>
      <c r="B2" s="152"/>
      <c r="C2" s="152"/>
      <c r="D2" s="153"/>
      <c r="E2" s="151"/>
      <c r="F2" s="152"/>
      <c r="G2" s="152"/>
      <c r="H2" s="152"/>
      <c r="I2" s="152"/>
      <c r="J2" s="153"/>
      <c r="K2" s="112"/>
      <c r="L2" s="112"/>
      <c r="M2" s="112"/>
      <c r="N2" s="107"/>
      <c r="O2" s="107"/>
    </row>
    <row r="3" spans="1:15" ht="13.5" customHeight="1" thickBot="1">
      <c r="A3" s="154"/>
      <c r="B3" s="155"/>
      <c r="C3" s="155"/>
      <c r="D3" s="156"/>
      <c r="E3" s="154"/>
      <c r="F3" s="155"/>
      <c r="G3" s="155"/>
      <c r="H3" s="155"/>
      <c r="I3" s="155"/>
      <c r="J3" s="156"/>
      <c r="K3" s="112"/>
      <c r="L3" s="112"/>
      <c r="M3" s="112"/>
      <c r="N3" s="107"/>
      <c r="O3" s="107"/>
    </row>
    <row r="4" spans="1:15" ht="76.5" customHeight="1" thickBot="1">
      <c r="A4" s="97" t="s">
        <v>0</v>
      </c>
      <c r="B4" s="98" t="s">
        <v>50</v>
      </c>
      <c r="C4" s="98" t="s">
        <v>51</v>
      </c>
      <c r="D4" s="115" t="s">
        <v>52</v>
      </c>
      <c r="E4" s="118" t="s">
        <v>53</v>
      </c>
      <c r="F4" s="99" t="s">
        <v>39</v>
      </c>
      <c r="G4" s="100" t="s">
        <v>71</v>
      </c>
      <c r="H4" s="119" t="s">
        <v>54</v>
      </c>
      <c r="I4" s="100" t="s">
        <v>71</v>
      </c>
      <c r="J4" s="113" t="s">
        <v>55</v>
      </c>
    </row>
    <row r="5" spans="1:15" ht="13.5" thickBot="1">
      <c r="A5" s="43">
        <v>1</v>
      </c>
      <c r="B5" s="44">
        <f ca="1">IF(A5=sheet4!$A$7,sheet4!$B$7,B5)</f>
        <v>1550.9999999999977</v>
      </c>
      <c r="C5" s="44">
        <f ca="1">ABS($F$5-B5)</f>
        <v>450.93134666169317</v>
      </c>
      <c r="D5" s="116"/>
      <c r="E5" s="120">
        <f>INDEX(H5:H25,E6)</f>
        <v>2</v>
      </c>
      <c r="F5" s="85">
        <f>sheet1!I5</f>
        <v>2001.9313466616909</v>
      </c>
      <c r="G5" s="86">
        <f ca="1">ABS((D44-D43)/D44)</f>
        <v>2.7798102238916442</v>
      </c>
      <c r="H5" s="101">
        <v>1</v>
      </c>
      <c r="I5" s="102">
        <f ca="1">IF(H5=$E$5,$G$5,I5)</f>
        <v>6.2908485639304352</v>
      </c>
      <c r="J5" s="53">
        <f ca="1">MIN(I5:I25)</f>
        <v>2.7798102238916442</v>
      </c>
    </row>
    <row r="6" spans="1:15">
      <c r="A6" s="4">
        <v>2</v>
      </c>
      <c r="B6" s="1">
        <f ca="1">IF(A6=sheet4!$A$7,sheet4!$B$7,B6)</f>
        <v>3100.9999999999977</v>
      </c>
      <c r="C6" s="1">
        <f t="shared" ref="C6:C44" ca="1" si="0">ABS($F$5-B6)</f>
        <v>1099.0686533383068</v>
      </c>
      <c r="D6" s="117">
        <f ca="1">C6/C5^$E$5</f>
        <v>5.4051029274346379E-3</v>
      </c>
      <c r="E6" s="121">
        <v>21</v>
      </c>
      <c r="F6" s="114"/>
      <c r="G6" s="114"/>
      <c r="H6" s="103">
        <v>1.05</v>
      </c>
      <c r="I6" s="104">
        <f t="shared" ref="I6:I25" ca="1" si="1">IF(H6=$E$5,$G$5,I6)</f>
        <v>6.0552543243909609</v>
      </c>
    </row>
    <row r="7" spans="1:15">
      <c r="A7" s="4">
        <v>3</v>
      </c>
      <c r="B7" s="1">
        <f ca="1">IF(A7=sheet4!$A$7,sheet4!$B$7,B7)</f>
        <v>4650.9999999999982</v>
      </c>
      <c r="C7" s="1">
        <f t="shared" ca="1" si="0"/>
        <v>2649.0686533383073</v>
      </c>
      <c r="D7" s="117">
        <f t="shared" ref="D7:D44" ca="1" si="2">C7/C6^$E$5</f>
        <v>2.1930249399164901E-3</v>
      </c>
      <c r="E7" s="121"/>
      <c r="F7" s="114"/>
      <c r="G7" s="114"/>
      <c r="H7" s="103">
        <v>1.1000000000000001</v>
      </c>
      <c r="I7" s="104">
        <f t="shared" ca="1" si="1"/>
        <v>5.827273004694419</v>
      </c>
    </row>
    <row r="8" spans="1:15">
      <c r="A8" s="4">
        <v>4</v>
      </c>
      <c r="B8" s="1">
        <f ca="1">IF(A8=sheet4!$A$7,sheet4!$B$7,B8)</f>
        <v>4495.9999999999982</v>
      </c>
      <c r="C8" s="1">
        <f t="shared" ca="1" si="0"/>
        <v>2494.0686533383073</v>
      </c>
      <c r="D8" s="117">
        <f t="shared" ca="1" si="2"/>
        <v>3.5540372611609635E-4</v>
      </c>
      <c r="E8" s="121"/>
      <c r="F8" s="114"/>
      <c r="G8" s="114"/>
      <c r="H8" s="103">
        <v>1.1499999999999999</v>
      </c>
      <c r="I8" s="104">
        <f t="shared" ca="1" si="1"/>
        <v>5.606658603288956</v>
      </c>
    </row>
    <row r="9" spans="1:15">
      <c r="A9" s="4">
        <v>5</v>
      </c>
      <c r="B9" s="1">
        <f ca="1">IF(A9=sheet4!$A$7,sheet4!$B$7,B9)</f>
        <v>4340.9999999999982</v>
      </c>
      <c r="C9" s="1">
        <f t="shared" ca="1" si="0"/>
        <v>2339.0686533383073</v>
      </c>
      <c r="D9" s="117">
        <f t="shared" ca="1" si="2"/>
        <v>3.760331743567852E-4</v>
      </c>
      <c r="E9" s="121"/>
      <c r="F9" s="114"/>
      <c r="G9" s="114"/>
      <c r="H9" s="103">
        <v>1.2</v>
      </c>
      <c r="I9" s="104">
        <f t="shared" ca="1" si="1"/>
        <v>5.3931730678412526</v>
      </c>
    </row>
    <row r="10" spans="1:15">
      <c r="A10" s="4">
        <v>6</v>
      </c>
      <c r="B10" s="1">
        <f ca="1">IF(A10=sheet4!$A$7,sheet4!$B$7,B10)</f>
        <v>4185.9999999999982</v>
      </c>
      <c r="C10" s="1">
        <f t="shared" ca="1" si="0"/>
        <v>2184.0686533383073</v>
      </c>
      <c r="D10" s="117">
        <f t="shared" ca="1" si="2"/>
        <v>3.9919063851679803E-4</v>
      </c>
      <c r="E10" s="121"/>
      <c r="F10" s="114"/>
      <c r="G10" s="114"/>
      <c r="H10" s="103">
        <v>1.25</v>
      </c>
      <c r="I10" s="104">
        <f t="shared" ca="1" si="1"/>
        <v>5.1865860383679161</v>
      </c>
    </row>
    <row r="11" spans="1:15">
      <c r="A11" s="4">
        <v>7</v>
      </c>
      <c r="B11" s="1">
        <f ca="1">IF(A11=sheet4!$A$7,sheet4!$B$7,B11)</f>
        <v>4030.9999999999982</v>
      </c>
      <c r="C11" s="1">
        <f t="shared" ca="1" si="0"/>
        <v>2029.0686533383073</v>
      </c>
      <c r="D11" s="117">
        <f t="shared" ca="1" si="2"/>
        <v>4.2536736813661788E-4</v>
      </c>
      <c r="E11" s="121"/>
      <c r="F11" s="114"/>
      <c r="G11" s="114"/>
      <c r="H11" s="103">
        <v>1.3</v>
      </c>
      <c r="I11" s="104">
        <f t="shared" ca="1" si="1"/>
        <v>4.9866745986672552</v>
      </c>
    </row>
    <row r="12" spans="1:15">
      <c r="A12" s="4">
        <v>8</v>
      </c>
      <c r="B12" s="1">
        <f ca="1">IF(A12=sheet4!$A$7,sheet4!$B$7,B12)</f>
        <v>3875.9999999999982</v>
      </c>
      <c r="C12" s="1">
        <f t="shared" ca="1" si="0"/>
        <v>1874.0686533383073</v>
      </c>
      <c r="D12" s="117">
        <f t="shared" ca="1" si="2"/>
        <v>4.5518926711685879E-4</v>
      </c>
      <c r="E12" s="121"/>
      <c r="F12" s="114"/>
      <c r="G12" s="114"/>
      <c r="H12" s="103">
        <v>1.35</v>
      </c>
      <c r="I12" s="104">
        <f t="shared" ca="1" si="1"/>
        <v>4.7932230357831997</v>
      </c>
    </row>
    <row r="13" spans="1:15">
      <c r="A13" s="4">
        <v>9</v>
      </c>
      <c r="B13" s="1">
        <f ca="1">IF(A13=sheet4!$A$7,sheet4!$B$7,B13)</f>
        <v>3720.9999999999982</v>
      </c>
      <c r="C13" s="1">
        <f t="shared" ca="1" si="0"/>
        <v>1719.0686533383073</v>
      </c>
      <c r="D13" s="117">
        <f t="shared" ca="1" si="2"/>
        <v>4.8946566031797328E-4</v>
      </c>
      <c r="E13" s="121"/>
      <c r="F13" s="114"/>
      <c r="G13" s="114"/>
      <c r="H13" s="103">
        <v>1.4</v>
      </c>
      <c r="I13" s="104">
        <f t="shared" ca="1" si="1"/>
        <v>4.6060226072418402</v>
      </c>
    </row>
    <row r="14" spans="1:15">
      <c r="A14" s="4">
        <v>10</v>
      </c>
      <c r="B14" s="1">
        <f ca="1">IF(A14=sheet4!$A$7,sheet4!$B$7,B14)</f>
        <v>3565.9999999999982</v>
      </c>
      <c r="C14" s="1">
        <f t="shared" ca="1" si="0"/>
        <v>1564.0686533383073</v>
      </c>
      <c r="D14" s="117">
        <f t="shared" ca="1" si="2"/>
        <v>5.2926036229470036E-4</v>
      </c>
      <c r="E14" s="121"/>
      <c r="F14" s="114"/>
      <c r="G14" s="114"/>
      <c r="H14" s="103">
        <v>1.45</v>
      </c>
      <c r="I14" s="104">
        <f t="shared" ca="1" si="1"/>
        <v>4.4248713158094128</v>
      </c>
    </row>
    <row r="15" spans="1:15">
      <c r="A15" s="4">
        <v>11</v>
      </c>
      <c r="B15" s="1">
        <f ca="1">IF(A15=sheet4!$A$7,sheet4!$B$7,B15)</f>
        <v>3410.9999999999982</v>
      </c>
      <c r="C15" s="1">
        <f t="shared" ca="1" si="0"/>
        <v>1409.0686533383073</v>
      </c>
      <c r="D15" s="117">
        <f t="shared" ca="1" si="2"/>
        <v>5.7599740833479227E-4</v>
      </c>
      <c r="E15" s="121"/>
      <c r="F15" s="114"/>
      <c r="G15" s="114"/>
      <c r="H15" s="103">
        <v>1.5</v>
      </c>
      <c r="I15" s="104">
        <f t="shared" ca="1" si="1"/>
        <v>4.2495736915286733</v>
      </c>
    </row>
    <row r="16" spans="1:15">
      <c r="A16" s="4">
        <v>12</v>
      </c>
      <c r="B16" s="1">
        <f ca="1">IF(A16=sheet4!$A$7,sheet4!$B$7,B16)</f>
        <v>3255.9999999999982</v>
      </c>
      <c r="C16" s="1">
        <f t="shared" ca="1" si="0"/>
        <v>1254.0686533383073</v>
      </c>
      <c r="D16" s="117">
        <f t="shared" ca="1" si="2"/>
        <v>6.316216463118767E-4</v>
      </c>
      <c r="E16" s="121"/>
      <c r="F16" s="114"/>
      <c r="G16" s="114"/>
      <c r="H16" s="103">
        <v>1.55</v>
      </c>
      <c r="I16" s="104">
        <f t="shared" ca="1" si="1"/>
        <v>4.0799405807984988</v>
      </c>
    </row>
    <row r="17" spans="1:15">
      <c r="A17" s="4">
        <v>13</v>
      </c>
      <c r="B17" s="1">
        <f ca="1">IF(A17=sheet4!$A$7,sheet4!$B$7,B17)</f>
        <v>3100.9999999999982</v>
      </c>
      <c r="C17" s="1">
        <f t="shared" ca="1" si="0"/>
        <v>1099.0686533383073</v>
      </c>
      <c r="D17" s="117">
        <f t="shared" ca="1" si="2"/>
        <v>6.9884714733894535E-4</v>
      </c>
      <c r="E17" s="121"/>
      <c r="F17" s="114"/>
      <c r="G17" s="114"/>
      <c r="H17" s="103">
        <v>1.6</v>
      </c>
      <c r="I17" s="104">
        <f t="shared" ca="1" si="1"/>
        <v>3.9157889422690939</v>
      </c>
    </row>
    <row r="18" spans="1:15">
      <c r="A18" s="4">
        <v>14</v>
      </c>
      <c r="B18" s="1">
        <f ca="1">IF(A18=sheet4!$A$7,sheet4!$B$7,B18)</f>
        <v>2945.9999999999982</v>
      </c>
      <c r="C18" s="1">
        <f t="shared" ca="1" si="0"/>
        <v>944.06865333830729</v>
      </c>
      <c r="D18" s="117">
        <f t="shared" ca="1" si="2"/>
        <v>7.8154490226413896E-4</v>
      </c>
      <c r="E18" s="121"/>
      <c r="F18" s="114"/>
      <c r="G18" s="114"/>
      <c r="H18" s="103">
        <v>1.65</v>
      </c>
      <c r="I18" s="104">
        <f t="shared" ca="1" si="1"/>
        <v>3.7569416493325738</v>
      </c>
    </row>
    <row r="19" spans="1:15">
      <c r="A19" s="4">
        <v>15</v>
      </c>
      <c r="B19" s="1">
        <f ca="1">IF(A19=sheet4!$A$7,sheet4!$B$7,B19)</f>
        <v>2790.9999999999982</v>
      </c>
      <c r="C19" s="1">
        <f t="shared" ca="1" si="0"/>
        <v>789.06865333830729</v>
      </c>
      <c r="D19" s="117">
        <f t="shared" ca="1" si="2"/>
        <v>8.853350041443318E-4</v>
      </c>
      <c r="E19" s="121"/>
      <c r="F19" s="114"/>
      <c r="G19" s="114"/>
      <c r="H19" s="103">
        <v>1.7</v>
      </c>
      <c r="I19" s="104">
        <f t="shared" ca="1" si="1"/>
        <v>3.6032272989958263</v>
      </c>
    </row>
    <row r="20" spans="1:15">
      <c r="A20" s="4">
        <v>16</v>
      </c>
      <c r="B20" s="1">
        <f ca="1">IF(A20=sheet4!$A$7,sheet4!$B$7,B20)</f>
        <v>2635.9999999999982</v>
      </c>
      <c r="C20" s="1">
        <f t="shared" ca="1" si="0"/>
        <v>634.06865333830729</v>
      </c>
      <c r="D20" s="117">
        <f t="shared" ca="1" si="2"/>
        <v>1.0183725901240631E-3</v>
      </c>
      <c r="E20" s="121"/>
      <c r="F20" s="114"/>
      <c r="G20" s="114"/>
      <c r="H20" s="103">
        <v>1.75</v>
      </c>
      <c r="I20" s="104">
        <f t="shared" ca="1" si="1"/>
        <v>3.4544800269293723</v>
      </c>
    </row>
    <row r="21" spans="1:15">
      <c r="A21" s="4">
        <v>17</v>
      </c>
      <c r="B21" s="1">
        <f ca="1">IF(A21=sheet4!$A$7,sheet4!$B$7,B21)</f>
        <v>2480.9999999999982</v>
      </c>
      <c r="C21" s="1">
        <f t="shared" ca="1" si="0"/>
        <v>479.06865333830729</v>
      </c>
      <c r="D21" s="117">
        <f t="shared" ca="1" si="2"/>
        <v>1.1915854404719456E-3</v>
      </c>
      <c r="E21" s="121"/>
      <c r="F21" s="114"/>
      <c r="G21" s="114"/>
      <c r="H21" s="103">
        <v>1.8</v>
      </c>
      <c r="I21" s="104">
        <f t="shared" ca="1" si="1"/>
        <v>3.3105393284926907</v>
      </c>
    </row>
    <row r="22" spans="1:15">
      <c r="A22" s="4">
        <v>18</v>
      </c>
      <c r="B22" s="1">
        <f ca="1">IF(A22=sheet4!$A$7,sheet4!$B$7,B22)</f>
        <v>2325.9999999999982</v>
      </c>
      <c r="C22" s="1">
        <f t="shared" ca="1" si="0"/>
        <v>324.06865333830729</v>
      </c>
      <c r="D22" s="117">
        <f t="shared" ca="1" si="2"/>
        <v>1.4120221674808876E-3</v>
      </c>
      <c r="E22" s="121"/>
      <c r="F22" s="114"/>
      <c r="G22" s="114"/>
      <c r="H22" s="103">
        <v>1.85</v>
      </c>
      <c r="I22" s="104">
        <f t="shared" ca="1" si="1"/>
        <v>3.1712498855428866</v>
      </c>
    </row>
    <row r="23" spans="1:15">
      <c r="A23" s="4">
        <v>19</v>
      </c>
      <c r="B23" s="1">
        <f ca="1">IF(A23=sheet4!$A$7,sheet4!$B$7,B23)</f>
        <v>2170.9999999999982</v>
      </c>
      <c r="C23" s="1">
        <f t="shared" ca="1" si="0"/>
        <v>169.06865333830729</v>
      </c>
      <c r="D23" s="117">
        <f t="shared" ca="1" si="2"/>
        <v>1.6098634656476977E-3</v>
      </c>
      <c r="E23" s="121"/>
      <c r="F23" s="114"/>
      <c r="G23" s="114"/>
      <c r="H23" s="103">
        <v>1.9</v>
      </c>
      <c r="I23" s="104">
        <f t="shared" ca="1" si="1"/>
        <v>3.0364613988397937</v>
      </c>
    </row>
    <row r="24" spans="1:15">
      <c r="A24" s="4">
        <v>20</v>
      </c>
      <c r="B24" s="1">
        <f ca="1">IF(A24=sheet4!$A$7,sheet4!$B$7,B24)</f>
        <v>2015.9999999999982</v>
      </c>
      <c r="C24" s="1">
        <f t="shared" ca="1" si="0"/>
        <v>14.068653338307286</v>
      </c>
      <c r="D24" s="117">
        <f t="shared" ca="1" si="2"/>
        <v>4.9218269680742261E-4</v>
      </c>
      <c r="E24" s="121"/>
      <c r="F24" s="114"/>
      <c r="G24" s="114"/>
      <c r="H24" s="103">
        <v>1.95</v>
      </c>
      <c r="I24" s="104">
        <f t="shared" ca="1" si="1"/>
        <v>2.9060284258666931</v>
      </c>
    </row>
    <row r="25" spans="1:15" ht="13.15" thickBot="1">
      <c r="A25" s="4">
        <v>21</v>
      </c>
      <c r="B25" s="1">
        <f ca="1">IF(A25=sheet4!$A$7,sheet4!$B$7,B25)</f>
        <v>1860.9999999999982</v>
      </c>
      <c r="C25" s="1">
        <f t="shared" ca="1" si="0"/>
        <v>140.93134666169271</v>
      </c>
      <c r="D25" s="117">
        <f t="shared" ca="1" si="2"/>
        <v>0.71203697248468445</v>
      </c>
      <c r="E25" s="122"/>
      <c r="F25" s="123"/>
      <c r="G25" s="123"/>
      <c r="H25" s="105">
        <v>2</v>
      </c>
      <c r="I25" s="106">
        <f t="shared" ca="1" si="1"/>
        <v>2.7798102238916442</v>
      </c>
    </row>
    <row r="26" spans="1:15" ht="18.75" customHeight="1">
      <c r="A26" s="4">
        <v>22</v>
      </c>
      <c r="B26" s="1">
        <f ca="1">IF(A26=sheet4!$A$7,sheet4!$B$7,B26)</f>
        <v>1876.4999999999982</v>
      </c>
      <c r="C26" s="1">
        <f t="shared" ca="1" si="0"/>
        <v>125.43134666169271</v>
      </c>
      <c r="D26" s="83">
        <f t="shared" ca="1" si="2"/>
        <v>6.3152548541128605E-3</v>
      </c>
      <c r="F26">
        <v>0.66033387001206001</v>
      </c>
      <c r="H26" s="157" t="s">
        <v>92</v>
      </c>
      <c r="I26" s="158"/>
      <c r="J26" s="158"/>
      <c r="K26" s="158"/>
      <c r="L26" s="158"/>
      <c r="M26" s="159"/>
      <c r="N26" s="107"/>
      <c r="O26" s="107"/>
    </row>
    <row r="27" spans="1:15" ht="17.649999999999999">
      <c r="A27" s="4">
        <v>23</v>
      </c>
      <c r="B27" s="1">
        <f ca="1">IF(A27=sheet4!$A$7,sheet4!$B$7,B27)</f>
        <v>1891.9999999999982</v>
      </c>
      <c r="C27" s="1">
        <f t="shared" ca="1" si="0"/>
        <v>109.93134666169271</v>
      </c>
      <c r="D27" s="83">
        <f t="shared" ca="1" si="2"/>
        <v>6.9872998075859094E-3</v>
      </c>
      <c r="H27" s="160"/>
      <c r="I27" s="161"/>
      <c r="J27" s="161"/>
      <c r="K27" s="161"/>
      <c r="L27" s="161"/>
      <c r="M27" s="162"/>
      <c r="N27" s="107"/>
      <c r="O27" s="107"/>
    </row>
    <row r="28" spans="1:15" ht="17.649999999999999">
      <c r="A28" s="4">
        <v>24</v>
      </c>
      <c r="B28" s="1">
        <f ca="1">IF(A28=sheet4!$A$7,sheet4!$B$7,B28)</f>
        <v>1907.4999999999982</v>
      </c>
      <c r="C28" s="1">
        <f t="shared" ca="1" si="0"/>
        <v>94.431346661692714</v>
      </c>
      <c r="D28" s="83">
        <f t="shared" ca="1" si="2"/>
        <v>7.8139942418173902E-3</v>
      </c>
      <c r="H28" s="160"/>
      <c r="I28" s="161"/>
      <c r="J28" s="161"/>
      <c r="K28" s="161"/>
      <c r="L28" s="161"/>
      <c r="M28" s="162"/>
      <c r="N28" s="107"/>
      <c r="O28" s="107"/>
    </row>
    <row r="29" spans="1:15" ht="17.649999999999999">
      <c r="A29" s="4">
        <v>25</v>
      </c>
      <c r="B29" s="1">
        <f ca="1">IF(A29=sheet4!$A$7,sheet4!$B$7,B29)</f>
        <v>1922.9999999999982</v>
      </c>
      <c r="C29" s="1">
        <f t="shared" ca="1" si="0"/>
        <v>78.931346661692714</v>
      </c>
      <c r="D29" s="83">
        <f t="shared" ca="1" si="2"/>
        <v>8.8515055551280815E-3</v>
      </c>
      <c r="H29" s="160"/>
      <c r="I29" s="161"/>
      <c r="J29" s="161"/>
      <c r="K29" s="161"/>
      <c r="L29" s="161"/>
      <c r="M29" s="162"/>
      <c r="N29" s="107"/>
      <c r="O29" s="107"/>
    </row>
    <row r="30" spans="1:15" ht="17.649999999999999">
      <c r="A30" s="4">
        <v>26</v>
      </c>
      <c r="B30" s="1">
        <f ca="1">IF(A30=sheet4!$A$7,sheet4!$B$7,B30)</f>
        <v>1938.4999999999982</v>
      </c>
      <c r="C30" s="1">
        <f t="shared" ca="1" si="0"/>
        <v>63.431346661692714</v>
      </c>
      <c r="D30" s="83">
        <f t="shared" ca="1" si="2"/>
        <v>1.0181339204663686E-2</v>
      </c>
      <c r="H30" s="160"/>
      <c r="I30" s="161"/>
      <c r="J30" s="161"/>
      <c r="K30" s="161"/>
      <c r="L30" s="161"/>
      <c r="M30" s="162"/>
      <c r="N30" s="107"/>
      <c r="O30" s="107"/>
    </row>
    <row r="31" spans="1:15" ht="17.649999999999999">
      <c r="A31" s="4">
        <v>27</v>
      </c>
      <c r="B31" s="1">
        <f ca="1">IF(A31=sheet4!$A$7,sheet4!$B$7,B31)</f>
        <v>1953.9999999999982</v>
      </c>
      <c r="C31" s="1">
        <f t="shared" ca="1" si="0"/>
        <v>47.931346661692714</v>
      </c>
      <c r="D31" s="83">
        <f t="shared" ca="1" si="2"/>
        <v>1.191274286278441E-2</v>
      </c>
      <c r="H31" s="160"/>
      <c r="I31" s="161"/>
      <c r="J31" s="161"/>
      <c r="K31" s="161"/>
      <c r="L31" s="161"/>
      <c r="M31" s="162"/>
      <c r="N31" s="107"/>
      <c r="O31" s="107"/>
    </row>
    <row r="32" spans="1:15" ht="17.649999999999999">
      <c r="A32" s="4">
        <v>28</v>
      </c>
      <c r="B32" s="1">
        <f ca="1">IF(A32=sheet4!$A$7,sheet4!$B$7,B32)</f>
        <v>1969.4999999999982</v>
      </c>
      <c r="C32" s="1">
        <f t="shared" ca="1" si="0"/>
        <v>32.431346661692714</v>
      </c>
      <c r="D32" s="83">
        <f t="shared" ca="1" si="2"/>
        <v>1.4116457357395643E-2</v>
      </c>
      <c r="H32" s="160"/>
      <c r="I32" s="161"/>
      <c r="J32" s="161"/>
      <c r="K32" s="161"/>
      <c r="L32" s="161"/>
      <c r="M32" s="162"/>
      <c r="N32" s="107"/>
      <c r="O32" s="107"/>
    </row>
    <row r="33" spans="1:15" ht="18" thickBot="1">
      <c r="A33" s="4">
        <v>29</v>
      </c>
      <c r="B33" s="1">
        <f ca="1">IF(A33=sheet4!$A$7,sheet4!$B$7,B33)</f>
        <v>1984.9999999999982</v>
      </c>
      <c r="C33" s="1">
        <f t="shared" ca="1" si="0"/>
        <v>16.931346661692714</v>
      </c>
      <c r="D33" s="83">
        <f t="shared" ca="1" si="2"/>
        <v>1.6097615019886852E-2</v>
      </c>
      <c r="H33" s="163"/>
      <c r="I33" s="164"/>
      <c r="J33" s="164"/>
      <c r="K33" s="164"/>
      <c r="L33" s="164"/>
      <c r="M33" s="165"/>
      <c r="N33" s="107"/>
      <c r="O33" s="107"/>
    </row>
    <row r="34" spans="1:15" ht="13.15" thickBot="1">
      <c r="A34" s="4">
        <v>30</v>
      </c>
      <c r="B34" s="1">
        <f ca="1">IF(A34=sheet4!$A$7,sheet4!$B$7,B34)</f>
        <v>2000.4999999999982</v>
      </c>
      <c r="C34" s="1">
        <f t="shared" ca="1" si="0"/>
        <v>1.4313466616927144</v>
      </c>
      <c r="D34" s="83">
        <f t="shared" ca="1" si="2"/>
        <v>4.9930029870499364E-3</v>
      </c>
    </row>
    <row r="35" spans="1:15" ht="12.75" customHeight="1">
      <c r="A35" s="4">
        <v>31</v>
      </c>
      <c r="B35" s="1">
        <f ca="1">IF(A35=sheet4!$A$7,sheet4!$B$7,B35)</f>
        <v>2015.9999999999982</v>
      </c>
      <c r="C35" s="1">
        <f t="shared" ca="1" si="0"/>
        <v>14.068653338307286</v>
      </c>
      <c r="D35" s="83">
        <f t="shared" ca="1" si="2"/>
        <v>6.8669339408521086</v>
      </c>
      <c r="G35" s="166" t="s">
        <v>63</v>
      </c>
      <c r="H35" s="167"/>
      <c r="I35" s="167"/>
      <c r="J35" s="168"/>
    </row>
    <row r="36" spans="1:15" ht="12.75" customHeight="1">
      <c r="A36" s="4">
        <v>32</v>
      </c>
      <c r="B36" s="1">
        <f ca="1">IF(A36=sheet4!$A$7,sheet4!$B$7,B36)</f>
        <v>2014.4499999999982</v>
      </c>
      <c r="C36" s="1">
        <f t="shared" ca="1" si="0"/>
        <v>12.518653338307331</v>
      </c>
      <c r="D36" s="83">
        <f t="shared" ca="1" si="2"/>
        <v>6.3248838769639965E-2</v>
      </c>
      <c r="G36" s="169"/>
      <c r="H36" s="170"/>
      <c r="I36" s="170"/>
      <c r="J36" s="171"/>
    </row>
    <row r="37" spans="1:15" ht="12.75" customHeight="1">
      <c r="A37" s="4">
        <v>33</v>
      </c>
      <c r="B37" s="1">
        <f ca="1">IF(A37=sheet4!$A$7,sheet4!$B$7,B37)</f>
        <v>2012.8999999999983</v>
      </c>
      <c r="C37" s="1">
        <f t="shared" ca="1" si="0"/>
        <v>10.968653338307377</v>
      </c>
      <c r="D37" s="83">
        <f t="shared" ca="1" si="2"/>
        <v>6.9990336957055366E-2</v>
      </c>
      <c r="G37" s="169"/>
      <c r="H37" s="170"/>
      <c r="I37" s="170"/>
      <c r="J37" s="171"/>
    </row>
    <row r="38" spans="1:15" ht="13.5" customHeight="1" thickBot="1">
      <c r="A38" s="4">
        <v>34</v>
      </c>
      <c r="B38" s="1">
        <f ca="1">IF(A38=sheet4!$A$7,sheet4!$B$7,B38)</f>
        <v>2011.3499999999983</v>
      </c>
      <c r="C38" s="1">
        <f t="shared" ca="1" si="0"/>
        <v>9.418653338307422</v>
      </c>
      <c r="D38" s="83">
        <f t="shared" ca="1" si="2"/>
        <v>7.8285655212184918E-2</v>
      </c>
      <c r="G38" s="172"/>
      <c r="H38" s="173"/>
      <c r="I38" s="173"/>
      <c r="J38" s="174"/>
    </row>
    <row r="39" spans="1:15" ht="15.4" thickBot="1">
      <c r="A39" s="4">
        <v>35</v>
      </c>
      <c r="B39" s="1">
        <f ca="1">IF(A39=sheet4!$A$7,sheet4!$B$7,B39)</f>
        <v>2009.7999999999984</v>
      </c>
      <c r="C39" s="1">
        <f t="shared" ca="1" si="0"/>
        <v>7.8686533383074675</v>
      </c>
      <c r="D39" s="83">
        <f t="shared" ca="1" si="2"/>
        <v>8.8699829948745951E-2</v>
      </c>
      <c r="G39" s="87" t="s">
        <v>0</v>
      </c>
      <c r="H39" s="88" t="s">
        <v>62</v>
      </c>
      <c r="I39" s="88" t="s">
        <v>23</v>
      </c>
      <c r="J39" s="89" t="s">
        <v>56</v>
      </c>
    </row>
    <row r="40" spans="1:15">
      <c r="A40" s="4">
        <v>36</v>
      </c>
      <c r="B40" s="1">
        <f ca="1">IF(A40=sheet4!$A$7,sheet4!$B$7,B40)</f>
        <v>2008.2499999999984</v>
      </c>
      <c r="C40" s="1">
        <f t="shared" ca="1" si="0"/>
        <v>6.318653338307513</v>
      </c>
      <c r="D40" s="83">
        <f t="shared" ca="1" si="2"/>
        <v>0.10205251319880876</v>
      </c>
      <c r="G40" s="43">
        <v>1</v>
      </c>
      <c r="H40" s="44">
        <v>150</v>
      </c>
      <c r="I40" s="44">
        <v>10</v>
      </c>
      <c r="J40" s="82">
        <v>1.1499999999999999</v>
      </c>
    </row>
    <row r="41" spans="1:15">
      <c r="A41" s="4">
        <v>37</v>
      </c>
      <c r="B41" s="1">
        <f ca="1">IF(A41=sheet4!$A$7,sheet4!$B$7,B41)</f>
        <v>2006.6999999999985</v>
      </c>
      <c r="C41" s="1">
        <f t="shared" ca="1" si="0"/>
        <v>4.7686533383075584</v>
      </c>
      <c r="D41" s="83">
        <f t="shared" ca="1" si="2"/>
        <v>0.11943914715773377</v>
      </c>
      <c r="G41" s="4">
        <v>2</v>
      </c>
      <c r="H41" s="1">
        <v>500</v>
      </c>
      <c r="I41" s="1">
        <v>10</v>
      </c>
      <c r="J41" s="83">
        <v>1.1499999999999999</v>
      </c>
    </row>
    <row r="42" spans="1:15">
      <c r="A42" s="4">
        <v>38</v>
      </c>
      <c r="B42" s="1">
        <f ca="1">IF(A42=sheet4!$A$7,sheet4!$B$7,B42)</f>
        <v>2005.1499999999985</v>
      </c>
      <c r="C42" s="1">
        <f t="shared" ca="1" si="0"/>
        <v>3.2186533383076039</v>
      </c>
      <c r="D42" s="83">
        <f t="shared" ca="1" si="2"/>
        <v>0.141541143427176</v>
      </c>
      <c r="G42" s="4">
        <v>3</v>
      </c>
      <c r="H42" s="1">
        <v>1000</v>
      </c>
      <c r="I42" s="1">
        <v>10</v>
      </c>
      <c r="J42" s="83">
        <v>1.2</v>
      </c>
    </row>
    <row r="43" spans="1:15">
      <c r="A43" s="4">
        <v>39</v>
      </c>
      <c r="B43" s="1">
        <f ca="1">IF(A43=sheet4!$A$7,sheet4!$B$7,B43)</f>
        <v>2003.5999999999985</v>
      </c>
      <c r="C43" s="1">
        <f t="shared" ca="1" si="0"/>
        <v>1.6686533383076494</v>
      </c>
      <c r="D43" s="83">
        <f t="shared" ca="1" si="2"/>
        <v>0.1610711330403965</v>
      </c>
      <c r="G43" s="4">
        <v>4</v>
      </c>
      <c r="H43" s="1">
        <v>1500</v>
      </c>
      <c r="I43" s="1">
        <v>10</v>
      </c>
      <c r="J43" s="83">
        <v>1.7</v>
      </c>
    </row>
    <row r="44" spans="1:15" ht="13.15" thickBot="1">
      <c r="A44" s="5">
        <v>40</v>
      </c>
      <c r="B44" s="6">
        <f ca="1">IF(A44=sheet4!$A$7,sheet4!$B$7,B44)</f>
        <v>2002.0499999999986</v>
      </c>
      <c r="C44" s="6">
        <f t="shared" ca="1" si="0"/>
        <v>0.11865333830769487</v>
      </c>
      <c r="D44" s="84">
        <f t="shared" ca="1" si="2"/>
        <v>4.2613550284162076E-2</v>
      </c>
      <c r="E44">
        <v>0.72436431848760297</v>
      </c>
      <c r="G44" s="5">
        <v>5</v>
      </c>
      <c r="H44" s="6">
        <v>1550</v>
      </c>
      <c r="I44" s="6">
        <v>10</v>
      </c>
      <c r="J44" s="84">
        <v>2</v>
      </c>
    </row>
    <row r="45" spans="1:15">
      <c r="F45" s="114"/>
      <c r="G45" s="114"/>
      <c r="H45" s="114"/>
      <c r="I45" s="114"/>
      <c r="J45" s="114"/>
      <c r="K45" s="114"/>
      <c r="L45" s="114"/>
      <c r="M45" s="114"/>
      <c r="N45" s="114"/>
    </row>
    <row r="46" spans="1:15">
      <c r="F46" s="114"/>
      <c r="G46" s="114"/>
      <c r="H46" s="114"/>
      <c r="I46" s="114"/>
      <c r="J46" s="114"/>
      <c r="K46" s="114"/>
      <c r="L46" s="114"/>
      <c r="M46" s="114"/>
      <c r="N46" s="114"/>
    </row>
    <row r="47" spans="1:15">
      <c r="E47">
        <v>4.2613550284162097E-2</v>
      </c>
      <c r="F47" s="114"/>
      <c r="G47" s="114"/>
      <c r="H47" s="114"/>
      <c r="I47" s="114"/>
      <c r="J47" s="114"/>
      <c r="K47" s="114"/>
      <c r="L47" s="114"/>
      <c r="M47" s="114"/>
      <c r="N47" s="114"/>
    </row>
    <row r="48" spans="1:15">
      <c r="F48" s="114"/>
      <c r="G48" s="114"/>
      <c r="H48" s="114"/>
      <c r="I48" s="114"/>
      <c r="J48" s="114"/>
      <c r="K48" s="114"/>
      <c r="L48" s="114"/>
      <c r="M48" s="114"/>
      <c r="N48" s="114"/>
    </row>
    <row r="49" spans="6:14">
      <c r="F49" s="114"/>
      <c r="G49" s="114"/>
      <c r="H49" s="114"/>
      <c r="I49" s="114"/>
      <c r="J49" s="114"/>
      <c r="K49" s="114"/>
      <c r="L49" s="114"/>
      <c r="M49" s="114"/>
      <c r="N49" s="114"/>
    </row>
    <row r="50" spans="6:14">
      <c r="F50" s="114"/>
      <c r="G50" s="114"/>
      <c r="H50" s="114"/>
      <c r="I50" s="114"/>
      <c r="J50" s="114"/>
      <c r="K50" s="114"/>
      <c r="L50" s="114"/>
      <c r="M50" s="114"/>
      <c r="N50" s="114"/>
    </row>
    <row r="51" spans="6:14">
      <c r="F51" s="114"/>
      <c r="G51" s="114"/>
      <c r="H51" s="114"/>
      <c r="I51" s="114"/>
      <c r="J51" s="114"/>
      <c r="K51" s="114"/>
      <c r="L51" s="114"/>
      <c r="M51" s="114"/>
      <c r="N51" s="114"/>
    </row>
    <row r="52" spans="6:14">
      <c r="F52" s="114"/>
      <c r="G52" s="114"/>
      <c r="H52" s="114"/>
      <c r="I52" s="114"/>
      <c r="J52" s="114"/>
      <c r="K52" s="114"/>
      <c r="L52" s="114"/>
      <c r="M52" s="114"/>
      <c r="N52" s="114"/>
    </row>
    <row r="53" spans="6:14">
      <c r="F53" s="114"/>
      <c r="G53" s="114"/>
      <c r="H53" s="114"/>
      <c r="I53" s="114"/>
      <c r="J53" s="114"/>
      <c r="K53" s="114"/>
      <c r="L53" s="114"/>
      <c r="M53" s="114"/>
      <c r="N53" s="114"/>
    </row>
    <row r="54" spans="6:14">
      <c r="F54" s="114"/>
      <c r="G54" s="114"/>
      <c r="H54" s="114"/>
      <c r="I54" s="114"/>
      <c r="J54" s="114"/>
      <c r="K54" s="114"/>
      <c r="L54" s="114"/>
      <c r="M54" s="114"/>
      <c r="N54" s="114"/>
    </row>
    <row r="55" spans="6:14">
      <c r="F55" s="114"/>
      <c r="G55" s="114"/>
      <c r="H55" s="114"/>
      <c r="I55" s="114"/>
      <c r="J55" s="114"/>
      <c r="K55" s="114"/>
      <c r="L55" s="114"/>
      <c r="M55" s="114"/>
      <c r="N55" s="114"/>
    </row>
    <row r="56" spans="6:14">
      <c r="F56" s="114"/>
      <c r="G56" s="114"/>
      <c r="H56" s="114"/>
      <c r="I56" s="114"/>
      <c r="J56" s="114"/>
      <c r="K56" s="114"/>
      <c r="L56" s="114"/>
      <c r="M56" s="114"/>
      <c r="N56" s="114"/>
    </row>
    <row r="57" spans="6:14">
      <c r="F57" s="114"/>
      <c r="G57" s="114"/>
      <c r="H57" s="114"/>
      <c r="I57" s="114"/>
      <c r="J57" s="114"/>
      <c r="K57" s="114"/>
      <c r="L57" s="114"/>
      <c r="M57" s="114"/>
      <c r="N57" s="114"/>
    </row>
    <row r="58" spans="6:14">
      <c r="F58" s="114"/>
      <c r="G58" s="114"/>
      <c r="H58" s="114"/>
      <c r="I58" s="114"/>
      <c r="J58" s="114"/>
      <c r="K58" s="114"/>
      <c r="L58" s="114"/>
      <c r="M58" s="114"/>
      <c r="N58" s="114"/>
    </row>
    <row r="59" spans="6:14">
      <c r="F59" s="114"/>
      <c r="G59" s="114"/>
      <c r="H59" s="114"/>
      <c r="I59" s="114"/>
      <c r="J59" s="114"/>
      <c r="K59" s="114"/>
      <c r="L59" s="114"/>
      <c r="M59" s="114"/>
      <c r="N59" s="114"/>
    </row>
    <row r="60" spans="6:14">
      <c r="F60" s="114"/>
      <c r="G60" s="114"/>
      <c r="H60" s="114"/>
      <c r="I60" s="114"/>
      <c r="J60" s="114"/>
      <c r="K60" s="114"/>
      <c r="L60" s="114"/>
      <c r="M60" s="114"/>
      <c r="N60" s="114"/>
    </row>
    <row r="61" spans="6:14">
      <c r="F61" s="114"/>
      <c r="G61" s="114"/>
      <c r="H61" s="114"/>
      <c r="I61" s="114"/>
      <c r="J61" s="114"/>
      <c r="K61" s="114"/>
      <c r="L61" s="114"/>
      <c r="M61" s="114"/>
      <c r="N61" s="114"/>
    </row>
    <row r="62" spans="6:14">
      <c r="F62" s="114"/>
      <c r="G62" s="114"/>
      <c r="H62" s="114"/>
      <c r="I62" s="114"/>
      <c r="J62" s="114"/>
      <c r="K62" s="114"/>
      <c r="L62" s="114"/>
      <c r="M62" s="114"/>
      <c r="N62" s="114"/>
    </row>
    <row r="63" spans="6:14">
      <c r="F63" s="114"/>
      <c r="G63" s="114"/>
      <c r="H63" s="114"/>
      <c r="I63" s="114"/>
      <c r="J63" s="114"/>
      <c r="K63" s="114"/>
      <c r="L63" s="114"/>
      <c r="M63" s="114"/>
      <c r="N63" s="114"/>
    </row>
    <row r="64" spans="6:14">
      <c r="F64" s="114"/>
      <c r="G64" s="114"/>
      <c r="H64" s="114"/>
      <c r="I64" s="114"/>
      <c r="J64" s="114"/>
      <c r="K64" s="114"/>
      <c r="L64" s="114"/>
      <c r="M64" s="114"/>
      <c r="N64" s="114"/>
    </row>
  </sheetData>
  <mergeCells count="4">
    <mergeCell ref="A1:D3"/>
    <mergeCell ref="E1:J3"/>
    <mergeCell ref="H26:M33"/>
    <mergeCell ref="G35:J38"/>
  </mergeCells>
  <phoneticPr fontId="2" type="noConversion"/>
  <conditionalFormatting sqref="H5:I25">
    <cfRule type="expression" dxfId="5" priority="1" stopIfTrue="1">
      <formula>$I5=$J$5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List Box 2">
              <controlPr defaultSize="0" autoLine="0" autoPict="0">
                <anchor moveWithCells="1">
                  <from>
                    <xdr:col>4</xdr:col>
                    <xdr:colOff>9525</xdr:colOff>
                    <xdr:row>5</xdr:row>
                    <xdr:rowOff>9525</xdr:rowOff>
                  </from>
                  <to>
                    <xdr:col>5</xdr:col>
                    <xdr:colOff>19050</xdr:colOff>
                    <xdr:row>21</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____4"/>
  <dimension ref="A1:Q100"/>
  <sheetViews>
    <sheetView tabSelected="1" workbookViewId="0">
      <selection activeCell="F17" sqref="F17"/>
    </sheetView>
  </sheetViews>
  <sheetFormatPr defaultRowHeight="12.75"/>
  <cols>
    <col min="1" max="1" width="6.265625" customWidth="1"/>
    <col min="2" max="2" width="11.3984375" bestFit="1" customWidth="1"/>
    <col min="3" max="3" width="12" bestFit="1" customWidth="1"/>
    <col min="4" max="4" width="13.59765625" customWidth="1"/>
    <col min="5" max="5" width="11" customWidth="1"/>
    <col min="6" max="6" width="8.1328125" customWidth="1"/>
    <col min="7" max="7" width="12.59765625" customWidth="1"/>
    <col min="8" max="8" width="12" bestFit="1" customWidth="1"/>
    <col min="9" max="9" width="11.1328125" customWidth="1"/>
    <col min="10" max="10" width="13.3984375" customWidth="1"/>
    <col min="11" max="11" width="12" bestFit="1" customWidth="1"/>
    <col min="12" max="12" width="11" customWidth="1"/>
    <col min="13" max="13" width="8.86328125" customWidth="1"/>
    <col min="14" max="17" width="9.1328125" hidden="1" customWidth="1"/>
  </cols>
  <sheetData>
    <row r="1" spans="1:17" ht="17.25">
      <c r="A1" s="3" t="s">
        <v>21</v>
      </c>
    </row>
    <row r="2" spans="1:17">
      <c r="A2" t="s">
        <v>10</v>
      </c>
    </row>
    <row r="3" spans="1:17" ht="19.5" customHeight="1">
      <c r="A3" t="s">
        <v>11</v>
      </c>
    </row>
    <row r="4" spans="1:17" ht="46.5" customHeight="1">
      <c r="H4" t="s">
        <v>18</v>
      </c>
      <c r="J4" s="13" t="s">
        <v>31</v>
      </c>
      <c r="K4" s="22" t="s">
        <v>17</v>
      </c>
      <c r="L4" s="13" t="s">
        <v>27</v>
      </c>
      <c r="M4" s="24" t="s">
        <v>23</v>
      </c>
    </row>
    <row r="5" spans="1:17" ht="18" customHeight="1" thickBot="1">
      <c r="A5" s="3" t="s">
        <v>22</v>
      </c>
      <c r="H5" t="s">
        <v>19</v>
      </c>
      <c r="I5" s="12">
        <v>0</v>
      </c>
      <c r="J5" s="23">
        <f>INDEX(H15:H25,N5)</f>
        <v>0.1</v>
      </c>
      <c r="K5" s="90">
        <f>INDEX(sheet5!I63:I120,O5)</f>
        <v>0.99999999999772626</v>
      </c>
      <c r="L5" s="91">
        <f>INDEX(sheet5!G26:G59,P5)</f>
        <v>1550</v>
      </c>
      <c r="M5" s="92">
        <f>INDEX(sheet5!K124:K182,Q5)</f>
        <v>10</v>
      </c>
      <c r="N5" s="93">
        <v>3</v>
      </c>
      <c r="O5" s="12">
        <v>1</v>
      </c>
      <c r="P5" s="12">
        <v>1</v>
      </c>
      <c r="Q5" s="12">
        <v>19</v>
      </c>
    </row>
    <row r="6" spans="1:17" ht="36.75" customHeight="1" thickBot="1">
      <c r="A6" s="7" t="s">
        <v>20</v>
      </c>
      <c r="B6" s="8" t="s">
        <v>1</v>
      </c>
      <c r="C6" s="8" t="s">
        <v>2</v>
      </c>
      <c r="D6" s="8" t="s">
        <v>3</v>
      </c>
      <c r="E6" s="27" t="s">
        <v>16</v>
      </c>
      <c r="F6" s="34" t="s">
        <v>24</v>
      </c>
      <c r="G6" s="29" t="s">
        <v>15</v>
      </c>
      <c r="H6" s="29" t="s">
        <v>14</v>
      </c>
      <c r="I6" s="27" t="s">
        <v>8</v>
      </c>
      <c r="J6" s="27" t="s">
        <v>6</v>
      </c>
      <c r="K6" s="27" t="s">
        <v>9</v>
      </c>
      <c r="L6" s="29" t="s">
        <v>12</v>
      </c>
      <c r="M6" s="28" t="s">
        <v>25</v>
      </c>
    </row>
    <row r="7" spans="1:17" ht="54.75" customHeight="1" thickBot="1">
      <c r="A7" s="9">
        <f ca="1">IF(I5=1,0,A7+1)</f>
        <v>33373</v>
      </c>
      <c r="B7" s="10">
        <f ca="1">IF(A7=0,K5,B7+F7)</f>
        <v>2053.5456499983989</v>
      </c>
      <c r="C7" s="62">
        <f ca="1">IF((B7+B7*sheet1!C5)&lt;=(J5/M5),(J5/M5),sheet1!B5/(B7+B7*sheet1!C5)^(2*sheet1!E5))</f>
        <v>3.6452821263735579E+32</v>
      </c>
      <c r="D7" s="146">
        <f ca="1">C7*(B7-sheet1!D5)</f>
        <v>1.5803962089061698E+35</v>
      </c>
      <c r="E7" s="62">
        <f ca="1">C7*sheet1!D5</f>
        <v>5.9053570447251638E+35</v>
      </c>
      <c r="F7" s="35">
        <f ca="1">IF(A7=0,L5,IF(D7&gt;0,IF(D7&lt;J7,IF(ABS(F7)&lt;=(J5/M5),M7,-F7/M5),F7),F7))</f>
        <v>1.5499999999999999E-3</v>
      </c>
      <c r="G7" s="30" t="str">
        <f ca="1">IF(A7=0,"Исходное состояние",
         IF(ABS(F7)&lt;=(J5/M5),
          "Решение найдено",
         "Продолжайте поиск"))</f>
        <v>Решение найдено</v>
      </c>
      <c r="H7" s="31">
        <f ca="1">IF(A7=0,0,IF(ABS(F7)&lt;=(J5/M5),H7,B7))</f>
        <v>2001.9259999999986</v>
      </c>
      <c r="I7" s="32">
        <f ca="1">IF(A7=0,0,IF(ABS(F7)&lt;=(J5/M5),I7,C7))</f>
        <v>4.165662361216759E+32</v>
      </c>
      <c r="J7" s="32">
        <f ca="1">IF(A7=0,0,IF(ABS(F7)&lt;=(J5/M5),J7,D7))</f>
        <v>1.590974762970066E+35</v>
      </c>
      <c r="K7" s="32">
        <f ca="1">IF(A7=0,0,IF(ABS(F7)&lt;=(J5/M5),K7,E7))</f>
        <v>6.7483730251711495E+35</v>
      </c>
      <c r="L7" s="33">
        <f ca="1">IF(A7=0,0,IF(ABS(F7)&lt;=(J5/M5),L7,A7))</f>
        <v>59</v>
      </c>
      <c r="M7" s="36">
        <f ca="1">IF(A7=0,L5,F7)</f>
        <v>1.5499999999999999E-3</v>
      </c>
    </row>
    <row r="8" spans="1:17">
      <c r="G8">
        <f ca="1">IF(ABS(F7)&lt;=(J5/M5), 1, 0)</f>
        <v>1</v>
      </c>
      <c r="H8" s="26"/>
      <c r="L8">
        <v>1000</v>
      </c>
    </row>
    <row r="10" spans="1:17" ht="13.15">
      <c r="A10" s="3" t="s">
        <v>30</v>
      </c>
    </row>
    <row r="11" spans="1:17" ht="13.15">
      <c r="A11" s="3" t="s">
        <v>29</v>
      </c>
    </row>
    <row r="12" spans="1:17" ht="14.65">
      <c r="A12" s="3" t="s">
        <v>28</v>
      </c>
      <c r="L12" s="12"/>
    </row>
    <row r="13" spans="1:17">
      <c r="L13" s="12"/>
    </row>
    <row r="14" spans="1:17" ht="21" thickBot="1">
      <c r="B14">
        <v>0.203125</v>
      </c>
      <c r="C14">
        <v>3.125E-2</v>
      </c>
      <c r="H14" s="13" t="s">
        <v>13</v>
      </c>
      <c r="L14" s="12"/>
    </row>
    <row r="15" spans="1:17">
      <c r="H15" s="15">
        <v>10</v>
      </c>
      <c r="L15" s="12"/>
    </row>
    <row r="16" spans="1:17">
      <c r="H16" s="11">
        <v>1</v>
      </c>
      <c r="L16" s="12"/>
    </row>
    <row r="17" spans="8:12">
      <c r="H17" s="11">
        <v>0.1</v>
      </c>
      <c r="L17" s="12"/>
    </row>
    <row r="18" spans="8:12">
      <c r="H18" s="11">
        <v>0.01</v>
      </c>
      <c r="L18" s="12"/>
    </row>
    <row r="19" spans="8:12">
      <c r="H19" s="11">
        <v>1E-3</v>
      </c>
      <c r="L19" s="12"/>
    </row>
    <row r="20" spans="8:12">
      <c r="H20" s="11">
        <v>1E-4</v>
      </c>
      <c r="L20" s="12"/>
    </row>
    <row r="21" spans="8:12">
      <c r="H21" s="11">
        <v>1.0000000000000001E-5</v>
      </c>
      <c r="L21" s="12"/>
    </row>
    <row r="22" spans="8:12">
      <c r="H22" s="11">
        <v>9.9999999999999995E-7</v>
      </c>
      <c r="L22" s="12"/>
    </row>
    <row r="23" spans="8:12">
      <c r="H23" s="11">
        <v>9.9999999999999995E-8</v>
      </c>
      <c r="L23" s="12"/>
    </row>
    <row r="24" spans="8:12">
      <c r="H24" s="11">
        <v>1E-8</v>
      </c>
      <c r="L24" s="12"/>
    </row>
    <row r="25" spans="8:12" ht="13.15" thickBot="1">
      <c r="H25" s="20">
        <v>1.0000000000000001E-9</v>
      </c>
      <c r="L25" s="12"/>
    </row>
    <row r="26" spans="8:12">
      <c r="L26" s="12"/>
    </row>
    <row r="27" spans="8:12">
      <c r="L27" s="12"/>
    </row>
    <row r="28" spans="8:12">
      <c r="L28" s="12"/>
    </row>
    <row r="29" spans="8:12">
      <c r="L29" s="12"/>
    </row>
    <row r="30" spans="8:12">
      <c r="L30" s="12"/>
    </row>
    <row r="31" spans="8:12">
      <c r="L31" s="12"/>
    </row>
    <row r="32" spans="8:12">
      <c r="L32" s="12"/>
    </row>
    <row r="33" spans="12:12">
      <c r="L33" s="12"/>
    </row>
    <row r="34" spans="12:12">
      <c r="L34" s="12"/>
    </row>
    <row r="35" spans="12:12">
      <c r="L35" s="12"/>
    </row>
    <row r="36" spans="12:12">
      <c r="L36" s="12"/>
    </row>
    <row r="37" spans="12:12">
      <c r="L37" s="12"/>
    </row>
    <row r="38" spans="12:12">
      <c r="L38" s="12"/>
    </row>
    <row r="39" spans="12:12">
      <c r="L39" s="12"/>
    </row>
    <row r="40" spans="12:12">
      <c r="L40" s="12"/>
    </row>
    <row r="41" spans="12:12">
      <c r="L41" s="12"/>
    </row>
    <row r="42" spans="12:12">
      <c r="L42" s="12"/>
    </row>
    <row r="43" spans="12:12">
      <c r="L43" s="12"/>
    </row>
    <row r="44" spans="12:12">
      <c r="L44" s="12"/>
    </row>
    <row r="45" spans="12:12">
      <c r="L45" s="12"/>
    </row>
    <row r="46" spans="12:12">
      <c r="L46" s="12"/>
    </row>
    <row r="47" spans="12:12">
      <c r="L47" s="12"/>
    </row>
    <row r="48" spans="12:12">
      <c r="L48" s="12"/>
    </row>
    <row r="49" spans="12:12">
      <c r="L49" s="12"/>
    </row>
    <row r="50" spans="12:12">
      <c r="L50" s="12"/>
    </row>
    <row r="51" spans="12:12">
      <c r="L51" s="12"/>
    </row>
    <row r="52" spans="12:12">
      <c r="L52" s="12"/>
    </row>
    <row r="53" spans="12:12">
      <c r="L53" s="12"/>
    </row>
    <row r="54" spans="12:12">
      <c r="L54" s="12"/>
    </row>
    <row r="55" spans="12:12">
      <c r="L55" s="12"/>
    </row>
    <row r="56" spans="12:12">
      <c r="L56" s="12"/>
    </row>
    <row r="57" spans="12:12">
      <c r="L57" s="12"/>
    </row>
    <row r="58" spans="12:12">
      <c r="L58" s="12"/>
    </row>
    <row r="59" spans="12:12">
      <c r="L59" s="12"/>
    </row>
    <row r="60" spans="12:12">
      <c r="L60" s="12"/>
    </row>
    <row r="61" spans="12:12">
      <c r="L61" s="12"/>
    </row>
    <row r="62" spans="12:12">
      <c r="L62" s="12"/>
    </row>
    <row r="63" spans="12:12">
      <c r="L63" s="12"/>
    </row>
    <row r="64" spans="12:12">
      <c r="L64" s="12"/>
    </row>
    <row r="65" spans="12:12">
      <c r="L65" s="12"/>
    </row>
    <row r="66" spans="12:12">
      <c r="L66" s="12"/>
    </row>
    <row r="67" spans="12:12">
      <c r="L67" s="12"/>
    </row>
    <row r="68" spans="12:12">
      <c r="L68" s="12"/>
    </row>
    <row r="69" spans="12:12">
      <c r="L69" s="12"/>
    </row>
    <row r="70" spans="12:12">
      <c r="L70" s="12"/>
    </row>
    <row r="71" spans="12:12">
      <c r="L71" s="12"/>
    </row>
    <row r="72" spans="12:12">
      <c r="L72" s="12"/>
    </row>
    <row r="73" spans="12:12">
      <c r="L73" s="12"/>
    </row>
    <row r="74" spans="12:12">
      <c r="L74" s="12"/>
    </row>
    <row r="75" spans="12:12">
      <c r="L75" s="12"/>
    </row>
    <row r="76" spans="12:12">
      <c r="L76" s="12"/>
    </row>
    <row r="77" spans="12:12">
      <c r="L77" s="12"/>
    </row>
    <row r="78" spans="12:12">
      <c r="L78" s="12"/>
    </row>
    <row r="79" spans="12:12">
      <c r="L79" s="12"/>
    </row>
    <row r="80" spans="12:12">
      <c r="L80" s="12"/>
    </row>
    <row r="81" spans="12:12">
      <c r="L81" s="12"/>
    </row>
    <row r="82" spans="12:12">
      <c r="L82" s="12"/>
    </row>
    <row r="83" spans="12:12">
      <c r="L83" s="12"/>
    </row>
    <row r="84" spans="12:12">
      <c r="L84" s="12"/>
    </row>
    <row r="85" spans="12:12">
      <c r="L85" s="12"/>
    </row>
    <row r="86" spans="12:12">
      <c r="L86" s="12"/>
    </row>
    <row r="87" spans="12:12">
      <c r="L87" s="12"/>
    </row>
    <row r="88" spans="12:12">
      <c r="L88" s="12"/>
    </row>
    <row r="89" spans="12:12">
      <c r="L89" s="12"/>
    </row>
    <row r="90" spans="12:12">
      <c r="L90" s="12"/>
    </row>
    <row r="91" spans="12:12">
      <c r="L91" s="12"/>
    </row>
    <row r="92" spans="12:12">
      <c r="L92" s="12"/>
    </row>
    <row r="93" spans="12:12">
      <c r="L93" s="12"/>
    </row>
    <row r="94" spans="12:12">
      <c r="L94" s="12"/>
    </row>
    <row r="95" spans="12:12">
      <c r="L95" s="12"/>
    </row>
    <row r="96" spans="12:12">
      <c r="L96" s="12"/>
    </row>
    <row r="97" spans="12:12">
      <c r="L97" s="12"/>
    </row>
    <row r="98" spans="12:12">
      <c r="L98" s="12"/>
    </row>
    <row r="99" spans="12:12">
      <c r="L99" s="12"/>
    </row>
    <row r="100" spans="12:12">
      <c r="L100" s="12"/>
    </row>
  </sheetData>
  <phoneticPr fontId="2" type="noConversion"/>
  <conditionalFormatting sqref="A7:E7">
    <cfRule type="expression" dxfId="4" priority="1" stopIfTrue="1">
      <formula>$A$7=0</formula>
    </cfRule>
  </conditionalFormatting>
  <conditionalFormatting sqref="G7:L7">
    <cfRule type="expression" dxfId="3" priority="2" stopIfTrue="1">
      <formula>$A$7=0</formula>
    </cfRule>
    <cfRule type="expression" dxfId="2"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8</xdr:col>
                    <xdr:colOff>733425</xdr:colOff>
                    <xdr:row>4</xdr:row>
                    <xdr:rowOff>9525</xdr:rowOff>
                  </from>
                  <to>
                    <xdr:col>10</xdr:col>
                    <xdr:colOff>0</xdr:colOff>
                    <xdr:row>5</xdr:row>
                    <xdr:rowOff>0</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7</xdr:col>
                    <xdr:colOff>9525</xdr:colOff>
                    <xdr:row>3</xdr:row>
                    <xdr:rowOff>38100</xdr:rowOff>
                  </from>
                  <to>
                    <xdr:col>9</xdr:col>
                    <xdr:colOff>0</xdr:colOff>
                    <xdr:row>5</xdr:row>
                    <xdr:rowOff>0</xdr:rowOff>
                  </to>
                </anchor>
              </controlPr>
            </control>
          </mc:Choice>
        </mc:AlternateContent>
        <mc:AlternateContent xmlns:mc="http://schemas.openxmlformats.org/markup-compatibility/2006">
          <mc:Choice Requires="x14">
            <control shapeId="1200" r:id="rId6" name="Drop Down 176">
              <controlPr defaultSize="0" autoLine="0" autoPict="0">
                <anchor moveWithCells="1">
                  <from>
                    <xdr:col>10</xdr:col>
                    <xdr:colOff>0</xdr:colOff>
                    <xdr:row>4</xdr:row>
                    <xdr:rowOff>9525</xdr:rowOff>
                  </from>
                  <to>
                    <xdr:col>11</xdr:col>
                    <xdr:colOff>0</xdr:colOff>
                    <xdr:row>5</xdr:row>
                    <xdr:rowOff>9525</xdr:rowOff>
                  </to>
                </anchor>
              </controlPr>
            </control>
          </mc:Choice>
        </mc:AlternateContent>
        <mc:AlternateContent xmlns:mc="http://schemas.openxmlformats.org/markup-compatibility/2006">
          <mc:Choice Requires="x14">
            <control shapeId="1201" r:id="rId7" name="Drop Down 177">
              <controlPr defaultSize="0" autoLine="0" autoPict="0">
                <anchor moveWithCells="1">
                  <from>
                    <xdr:col>11</xdr:col>
                    <xdr:colOff>0</xdr:colOff>
                    <xdr:row>4</xdr:row>
                    <xdr:rowOff>9525</xdr:rowOff>
                  </from>
                  <to>
                    <xdr:col>12</xdr:col>
                    <xdr:colOff>19050</xdr:colOff>
                    <xdr:row>5</xdr:row>
                    <xdr:rowOff>0</xdr:rowOff>
                  </to>
                </anchor>
              </controlPr>
            </control>
          </mc:Choice>
        </mc:AlternateContent>
        <mc:AlternateContent xmlns:mc="http://schemas.openxmlformats.org/markup-compatibility/2006">
          <mc:Choice Requires="x14">
            <control shapeId="1202" r:id="rId8" name="Drop Down 178">
              <controlPr defaultSize="0" autoLine="0" autoPict="0">
                <anchor moveWithCells="1">
                  <from>
                    <xdr:col>12</xdr:col>
                    <xdr:colOff>0</xdr:colOff>
                    <xdr:row>3</xdr:row>
                    <xdr:rowOff>581025</xdr:rowOff>
                  </from>
                  <to>
                    <xdr:col>17</xdr:col>
                    <xdr:colOff>19050</xdr:colOff>
                    <xdr:row>5</xdr:row>
                    <xdr:rowOff>9525</xdr:rowOff>
                  </to>
                </anchor>
              </controlPr>
            </control>
          </mc:Choice>
        </mc:AlternateContent>
        <mc:AlternateContent xmlns:mc="http://schemas.openxmlformats.org/markup-compatibility/2006">
          <mc:Choice Requires="x14">
            <control shapeId="1203" r:id="rId9" name="Button 179">
              <controlPr defaultSize="0" print="0" autoFill="0" autoPict="0" macro="[0]!Module1.CheckTimeForIteration">
                <anchor moveWithCells="1">
                  <from>
                    <xdr:col>0</xdr:col>
                    <xdr:colOff>204788</xdr:colOff>
                    <xdr:row>17</xdr:row>
                    <xdr:rowOff>9525</xdr:rowOff>
                  </from>
                  <to>
                    <xdr:col>1</xdr:col>
                    <xdr:colOff>414338</xdr:colOff>
                    <xdr:row>18</xdr:row>
                    <xdr:rowOff>38100</xdr:rowOff>
                  </to>
                </anchor>
              </controlPr>
            </control>
          </mc:Choice>
        </mc:AlternateContent>
        <mc:AlternateContent xmlns:mc="http://schemas.openxmlformats.org/markup-compatibility/2006">
          <mc:Choice Requires="x14">
            <control shapeId="1204" r:id="rId10" name="Button 180">
              <controlPr defaultSize="0" print="0" autoFill="0" autoPict="0" macro="[0]!Module1.CheckTimeWithTolerance">
                <anchor moveWithCells="1">
                  <from>
                    <xdr:col>2</xdr:col>
                    <xdr:colOff>38100</xdr:colOff>
                    <xdr:row>17</xdr:row>
                    <xdr:rowOff>47625</xdr:rowOff>
                  </from>
                  <to>
                    <xdr:col>2</xdr:col>
                    <xdr:colOff>695325</xdr:colOff>
                    <xdr:row>18</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82"/>
  <sheetViews>
    <sheetView topLeftCell="H19" zoomScaleNormal="100" workbookViewId="0">
      <selection activeCell="S3" sqref="S3"/>
    </sheetView>
  </sheetViews>
  <sheetFormatPr defaultRowHeight="12.75"/>
  <cols>
    <col min="1" max="1" width="4.73046875" customWidth="1"/>
    <col min="2" max="2" width="11.73046875" customWidth="1"/>
    <col min="3" max="3" width="12.73046875" customWidth="1"/>
    <col min="4" max="5" width="12.59765625" customWidth="1"/>
    <col min="6" max="6" width="11.265625" customWidth="1"/>
    <col min="7" max="8" width="12.73046875" customWidth="1"/>
    <col min="10" max="10" width="17.3984375" customWidth="1"/>
    <col min="11" max="11" width="11" customWidth="1"/>
  </cols>
  <sheetData>
    <row r="1" spans="1:11" ht="17.25">
      <c r="A1" s="3" t="s">
        <v>21</v>
      </c>
    </row>
    <row r="2" spans="1:11">
      <c r="A2" t="s">
        <v>10</v>
      </c>
    </row>
    <row r="3" spans="1:11">
      <c r="A3" t="s">
        <v>11</v>
      </c>
    </row>
    <row r="4" spans="1:11" ht="13.15">
      <c r="A4" s="3" t="s">
        <v>44</v>
      </c>
    </row>
    <row r="5" spans="1:11">
      <c r="A5" s="37" t="s">
        <v>45</v>
      </c>
    </row>
    <row r="6" spans="1:11">
      <c r="A6" s="37" t="s">
        <v>46</v>
      </c>
    </row>
    <row r="7" spans="1:11" ht="14.25">
      <c r="A7" s="37" t="s">
        <v>47</v>
      </c>
    </row>
    <row r="8" spans="1:11">
      <c r="A8" s="37" t="s">
        <v>57</v>
      </c>
    </row>
    <row r="9" spans="1:11">
      <c r="A9" s="37"/>
    </row>
    <row r="10" spans="1:11" ht="13.5" thickBot="1">
      <c r="A10" s="56" t="s">
        <v>61</v>
      </c>
    </row>
    <row r="11" spans="1:11" ht="35.25" customHeight="1" thickBot="1">
      <c r="A11" s="81" t="s">
        <v>4</v>
      </c>
      <c r="B11" s="81" t="s">
        <v>5</v>
      </c>
      <c r="C11" s="81" t="s">
        <v>8</v>
      </c>
      <c r="D11" s="81" t="s">
        <v>6</v>
      </c>
      <c r="E11" s="81" t="s">
        <v>9</v>
      </c>
      <c r="F11" s="81" t="s">
        <v>49</v>
      </c>
      <c r="G11" s="81" t="s">
        <v>48</v>
      </c>
      <c r="H11" s="81" t="s">
        <v>13</v>
      </c>
      <c r="I11" s="81" t="s">
        <v>7</v>
      </c>
      <c r="J11" s="81" t="s">
        <v>26</v>
      </c>
      <c r="K11" s="81" t="s">
        <v>32</v>
      </c>
    </row>
    <row r="12" spans="1:11">
      <c r="A12" s="14">
        <v>1</v>
      </c>
      <c r="B12" s="78">
        <v>0</v>
      </c>
      <c r="C12" s="79">
        <v>0</v>
      </c>
      <c r="D12" s="79">
        <v>0</v>
      </c>
      <c r="E12" s="79">
        <v>0</v>
      </c>
      <c r="F12" s="80">
        <v>0</v>
      </c>
      <c r="G12" s="15">
        <v>1</v>
      </c>
      <c r="H12" s="15">
        <v>10</v>
      </c>
      <c r="I12" s="15">
        <v>1</v>
      </c>
      <c r="J12" s="25">
        <f>ABS(I12-B12)</f>
        <v>1</v>
      </c>
      <c r="K12" s="16">
        <v>10</v>
      </c>
    </row>
    <row r="13" spans="1:11">
      <c r="A13" s="17">
        <v>2</v>
      </c>
      <c r="B13" s="63">
        <v>2001.9999999999977</v>
      </c>
      <c r="C13" s="64">
        <v>4.1648553463344538E+32</v>
      </c>
      <c r="D13" s="64">
        <v>1.5909747422997519E+35</v>
      </c>
      <c r="E13" s="64">
        <v>6.7470656610618154E+35</v>
      </c>
      <c r="F13" s="60">
        <v>2001</v>
      </c>
      <c r="G13" s="11">
        <v>1</v>
      </c>
      <c r="H13" s="11">
        <v>1</v>
      </c>
      <c r="I13" s="11">
        <v>1</v>
      </c>
      <c r="J13" s="60">
        <f t="shared" ref="J13:J22" si="0">ABS(I13-B13)</f>
        <v>2000.9999999999977</v>
      </c>
      <c r="K13" s="18">
        <v>10</v>
      </c>
    </row>
    <row r="14" spans="1:11">
      <c r="A14" s="17">
        <v>3</v>
      </c>
      <c r="B14" s="63">
        <v>2001.8999999999987</v>
      </c>
      <c r="C14" s="64">
        <v>4.1659459511907053E+32</v>
      </c>
      <c r="D14" s="64">
        <v>1.590974758759725E+35</v>
      </c>
      <c r="E14" s="64">
        <v>6.7488324409289428E+35</v>
      </c>
      <c r="F14" s="60">
        <v>2013</v>
      </c>
      <c r="G14" s="11">
        <v>1</v>
      </c>
      <c r="H14" s="11">
        <v>0.1</v>
      </c>
      <c r="I14" s="11">
        <v>1</v>
      </c>
      <c r="J14" s="60">
        <f t="shared" si="0"/>
        <v>2000.8999999999987</v>
      </c>
      <c r="K14" s="18">
        <v>10</v>
      </c>
    </row>
    <row r="15" spans="1:11">
      <c r="A15" s="17">
        <v>4</v>
      </c>
      <c r="B15" s="63">
        <v>2001.9299999999987</v>
      </c>
      <c r="C15" s="64">
        <v>4.165618734030411E+32</v>
      </c>
      <c r="D15" s="64">
        <v>1.5909747630882295E+35</v>
      </c>
      <c r="E15" s="64">
        <v>6.7483023491292652E+35</v>
      </c>
      <c r="F15" s="60">
        <v>2027</v>
      </c>
      <c r="G15" s="11">
        <v>1</v>
      </c>
      <c r="H15" s="11">
        <v>0.01</v>
      </c>
      <c r="I15" s="11">
        <v>1</v>
      </c>
      <c r="J15" s="60">
        <f t="shared" si="0"/>
        <v>2000.9299999999987</v>
      </c>
      <c r="K15" s="18">
        <v>10</v>
      </c>
    </row>
    <row r="16" spans="1:11">
      <c r="A16" s="17">
        <v>5</v>
      </c>
      <c r="B16" s="63">
        <v>2001.9309999999989</v>
      </c>
      <c r="C16" s="64">
        <v>4.165607827318779E+32</v>
      </c>
      <c r="D16" s="64">
        <v>1.5909747630956841E+35</v>
      </c>
      <c r="E16" s="64">
        <v>6.7482846802564224E+35</v>
      </c>
      <c r="F16" s="60">
        <v>2037</v>
      </c>
      <c r="G16" s="11">
        <v>1</v>
      </c>
      <c r="H16" s="11">
        <v>1E-3</v>
      </c>
      <c r="I16" s="11">
        <v>1</v>
      </c>
      <c r="J16" s="60">
        <f t="shared" si="0"/>
        <v>2000.9309999999989</v>
      </c>
      <c r="K16" s="18">
        <v>10</v>
      </c>
    </row>
    <row r="17" spans="1:11">
      <c r="A17" s="17">
        <v>6</v>
      </c>
      <c r="B17" s="63">
        <v>2001.9313999999986</v>
      </c>
      <c r="C17" s="64">
        <v>4.1656034646437152E+32</v>
      </c>
      <c r="D17" s="64">
        <v>1.5909747630962186E+35</v>
      </c>
      <c r="E17" s="64">
        <v>6.748277612722818E+35</v>
      </c>
      <c r="F17" s="60">
        <v>2052</v>
      </c>
      <c r="G17" s="11">
        <v>1</v>
      </c>
      <c r="H17" s="11">
        <v>1E-4</v>
      </c>
      <c r="I17" s="11">
        <v>1</v>
      </c>
      <c r="J17" s="60">
        <f t="shared" si="0"/>
        <v>2000.9313999999986</v>
      </c>
      <c r="K17" s="18">
        <v>10</v>
      </c>
    </row>
    <row r="18" spans="1:11">
      <c r="A18" s="17">
        <v>7</v>
      </c>
      <c r="B18" s="63">
        <v>2001.9313899999988</v>
      </c>
      <c r="C18" s="64">
        <v>4.1656035737105082E+32</v>
      </c>
      <c r="D18" s="64">
        <v>1.590974763096217E+35</v>
      </c>
      <c r="E18" s="64">
        <v>6.7482777894110233E+35</v>
      </c>
      <c r="F18" s="60">
        <v>2064</v>
      </c>
      <c r="G18" s="11">
        <v>1</v>
      </c>
      <c r="H18" s="11">
        <v>1.0000000000000001E-5</v>
      </c>
      <c r="I18" s="11">
        <v>1</v>
      </c>
      <c r="J18" s="60">
        <f t="shared" si="0"/>
        <v>2000.9313899999988</v>
      </c>
      <c r="K18" s="18">
        <v>10</v>
      </c>
    </row>
    <row r="19" spans="1:11">
      <c r="A19" s="17">
        <v>8</v>
      </c>
      <c r="B19" s="69">
        <v>2001.931380999999</v>
      </c>
      <c r="C19" s="70">
        <v>4.1656036718706515E+32</v>
      </c>
      <c r="D19" s="70">
        <v>1.5909747630962245E+35</v>
      </c>
      <c r="E19" s="70">
        <v>6.748277948430456E+35</v>
      </c>
      <c r="F19" s="71">
        <v>2066</v>
      </c>
      <c r="G19" s="11">
        <v>1</v>
      </c>
      <c r="H19" s="11">
        <v>9.9999999999999995E-7</v>
      </c>
      <c r="I19" s="11">
        <v>1</v>
      </c>
      <c r="J19" s="60">
        <f t="shared" si="0"/>
        <v>2000.931380999999</v>
      </c>
      <c r="K19" s="18">
        <v>10</v>
      </c>
    </row>
    <row r="20" spans="1:11">
      <c r="A20" s="17">
        <v>9</v>
      </c>
      <c r="B20" s="63">
        <v>2001.931381899999</v>
      </c>
      <c r="C20" s="64">
        <v>4.1656036620546403E+32</v>
      </c>
      <c r="D20" s="64">
        <v>1.5909747630962251E+35</v>
      </c>
      <c r="E20" s="64">
        <v>6.748277932528517E+35</v>
      </c>
      <c r="F20" s="60">
        <v>2068</v>
      </c>
      <c r="G20" s="11">
        <v>1</v>
      </c>
      <c r="H20" s="11">
        <v>9.9999999999999995E-8</v>
      </c>
      <c r="I20" s="11">
        <v>1</v>
      </c>
      <c r="J20" s="60">
        <f t="shared" si="0"/>
        <v>2000.931381899999</v>
      </c>
      <c r="K20" s="18">
        <v>10</v>
      </c>
    </row>
    <row r="21" spans="1:11">
      <c r="A21" s="17">
        <v>10</v>
      </c>
      <c r="B21" s="63">
        <v>2001.9313818599983</v>
      </c>
      <c r="C21" s="64">
        <v>4.1656036624908907E+32</v>
      </c>
      <c r="D21" s="64">
        <v>1.5909747630962157E+35</v>
      </c>
      <c r="E21" s="64">
        <v>6.7482779332352427E+35</v>
      </c>
      <c r="F21" s="60">
        <v>2075</v>
      </c>
      <c r="G21" s="11">
        <v>1</v>
      </c>
      <c r="H21" s="11">
        <v>1E-8</v>
      </c>
      <c r="I21" s="11">
        <v>1</v>
      </c>
      <c r="J21" s="60">
        <f t="shared" si="0"/>
        <v>2000.9313818599983</v>
      </c>
      <c r="K21" s="18">
        <v>10</v>
      </c>
    </row>
    <row r="22" spans="1:11" ht="13.15" thickBot="1">
      <c r="A22" s="19">
        <v>11</v>
      </c>
      <c r="B22" s="65">
        <v>2001.9313818689982</v>
      </c>
      <c r="C22" s="66">
        <v>4.1656036623927425E+32</v>
      </c>
      <c r="D22" s="66">
        <v>1.5909747630962199E+35</v>
      </c>
      <c r="E22" s="66">
        <v>6.7482779330762421E+35</v>
      </c>
      <c r="F22" s="61">
        <v>2077</v>
      </c>
      <c r="G22" s="20">
        <v>1</v>
      </c>
      <c r="H22" s="20">
        <v>1.0000000000000001E-9</v>
      </c>
      <c r="I22" s="20">
        <v>1</v>
      </c>
      <c r="J22" s="61">
        <f t="shared" si="0"/>
        <v>2000.9313818689982</v>
      </c>
      <c r="K22" s="21">
        <v>10</v>
      </c>
    </row>
    <row r="23" spans="1:11" ht="13.15" thickBot="1"/>
    <row r="24" spans="1:11" ht="15" thickBot="1">
      <c r="A24" s="56" t="s">
        <v>60</v>
      </c>
      <c r="I24" s="108">
        <v>0.2</v>
      </c>
      <c r="J24" s="147">
        <f>(F26-F27)/F26</f>
        <v>0.16610495907558978</v>
      </c>
    </row>
    <row r="25" spans="1:11" ht="32.65" thickBot="1">
      <c r="A25" s="81" t="s">
        <v>4</v>
      </c>
      <c r="B25" s="81" t="s">
        <v>5</v>
      </c>
      <c r="C25" s="81" t="s">
        <v>8</v>
      </c>
      <c r="D25" s="81" t="s">
        <v>6</v>
      </c>
      <c r="E25" s="81" t="s">
        <v>9</v>
      </c>
      <c r="F25" s="81" t="s">
        <v>49</v>
      </c>
      <c r="G25" s="81" t="s">
        <v>48</v>
      </c>
      <c r="H25" s="81" t="s">
        <v>13</v>
      </c>
      <c r="I25" s="81" t="s">
        <v>7</v>
      </c>
      <c r="J25" s="81" t="s">
        <v>26</v>
      </c>
      <c r="K25" s="81" t="s">
        <v>32</v>
      </c>
    </row>
    <row r="26" spans="1:11">
      <c r="A26" s="14">
        <v>1</v>
      </c>
      <c r="B26" s="67">
        <v>2001.9313818689982</v>
      </c>
      <c r="C26" s="68">
        <v>4.1656036623927425E+32</v>
      </c>
      <c r="D26" s="68">
        <v>1.5909747630962199E+35</v>
      </c>
      <c r="E26" s="68">
        <v>6.7482779330762421E+35</v>
      </c>
      <c r="F26" s="25">
        <v>2077</v>
      </c>
      <c r="G26" s="15">
        <v>1550</v>
      </c>
      <c r="H26" s="15">
        <v>1.0000000000000001E-9</v>
      </c>
      <c r="I26" s="15">
        <v>1</v>
      </c>
      <c r="J26" s="25">
        <f t="shared" ref="J26:J59" si="1">ABS(I26-B26)</f>
        <v>2000.9313818689982</v>
      </c>
      <c r="K26" s="16">
        <v>10</v>
      </c>
    </row>
    <row r="27" spans="1:11">
      <c r="A27" s="17">
        <v>2</v>
      </c>
      <c r="B27" s="63">
        <v>2001.9313547416509</v>
      </c>
      <c r="C27" s="64">
        <v>4.1656039582620904E+32</v>
      </c>
      <c r="D27" s="64">
        <v>1.5909747630962236E+35</v>
      </c>
      <c r="E27" s="64">
        <v>6.748278412384587E+35</v>
      </c>
      <c r="F27" s="60">
        <v>1732</v>
      </c>
      <c r="G27" s="11">
        <f>G26+$I$24</f>
        <v>1550.2</v>
      </c>
      <c r="H27" s="11">
        <v>1.0000000000000001E-9</v>
      </c>
      <c r="I27" s="11">
        <v>1</v>
      </c>
      <c r="J27" s="60">
        <f t="shared" si="1"/>
        <v>2000.9313547416509</v>
      </c>
      <c r="K27" s="18">
        <v>10</v>
      </c>
    </row>
    <row r="28" spans="1:11">
      <c r="A28" s="17">
        <v>3</v>
      </c>
      <c r="B28" s="63">
        <v>2001.9313260556671</v>
      </c>
      <c r="C28" s="64">
        <v>4.1656042711310333E+32</v>
      </c>
      <c r="D28" s="64">
        <v>1.5909747630962262E+35</v>
      </c>
      <c r="E28" s="64">
        <v>6.7482789192322738E+35</v>
      </c>
      <c r="F28" s="60">
        <v>1510</v>
      </c>
      <c r="G28" s="11">
        <f t="shared" ref="G28:G59" si="2">G27+$I$24</f>
        <v>1550.4</v>
      </c>
      <c r="H28" s="11">
        <v>1.0000000000000001E-9</v>
      </c>
      <c r="I28" s="11">
        <v>1</v>
      </c>
      <c r="J28" s="60">
        <f t="shared" si="1"/>
        <v>2000.9313260556671</v>
      </c>
      <c r="K28" s="18">
        <v>10</v>
      </c>
    </row>
    <row r="29" spans="1:11">
      <c r="A29" s="17">
        <v>4</v>
      </c>
      <c r="B29" s="63">
        <v>2001.9313642162747</v>
      </c>
      <c r="C29" s="64">
        <v>4.165603854925388E+32</v>
      </c>
      <c r="D29" s="64">
        <v>1.5909747630962262E+35</v>
      </c>
      <c r="E29" s="64">
        <v>6.7482782449791287E+35</v>
      </c>
      <c r="F29" s="60">
        <v>1358</v>
      </c>
      <c r="G29" s="11">
        <f t="shared" si="2"/>
        <v>1550.6000000000001</v>
      </c>
      <c r="H29" s="11">
        <v>1.0000000000000001E-9</v>
      </c>
      <c r="I29" s="11">
        <v>1</v>
      </c>
      <c r="J29" s="60">
        <f t="shared" si="1"/>
        <v>2000.9313642162747</v>
      </c>
      <c r="K29" s="18">
        <v>10</v>
      </c>
    </row>
    <row r="30" spans="1:11">
      <c r="A30" s="17">
        <v>5</v>
      </c>
      <c r="B30" s="63">
        <v>2001.9313424013037</v>
      </c>
      <c r="C30" s="64">
        <v>4.1656040928543472E+32</v>
      </c>
      <c r="D30" s="64">
        <v>1.5909747630962258E+35</v>
      </c>
      <c r="E30" s="64">
        <v>6.7482786304240424E+35</v>
      </c>
      <c r="F30" s="60">
        <v>1190</v>
      </c>
      <c r="G30" s="11">
        <f t="shared" si="2"/>
        <v>1550.8000000000002</v>
      </c>
      <c r="H30" s="11">
        <v>1.0000000000000001E-9</v>
      </c>
      <c r="I30" s="11">
        <v>1</v>
      </c>
      <c r="J30" s="60">
        <f t="shared" si="1"/>
        <v>2000.9313424013037</v>
      </c>
      <c r="K30" s="18">
        <v>10</v>
      </c>
    </row>
    <row r="31" spans="1:11">
      <c r="A31" s="17">
        <v>6</v>
      </c>
      <c r="B31" s="63">
        <v>2001.9313894745987</v>
      </c>
      <c r="C31" s="64">
        <v>4.1656035794408754E+32</v>
      </c>
      <c r="D31" s="64">
        <v>1.5909747630962157E+35</v>
      </c>
      <c r="E31" s="64">
        <v>6.7482777986942188E+35</v>
      </c>
      <c r="F31" s="60">
        <v>1067</v>
      </c>
      <c r="G31" s="11">
        <f t="shared" si="2"/>
        <v>1551.0000000000002</v>
      </c>
      <c r="H31" s="11">
        <v>1.0000000000000001E-9</v>
      </c>
      <c r="I31" s="11">
        <v>1</v>
      </c>
      <c r="J31" s="60">
        <f t="shared" si="1"/>
        <v>2000.9313894745987</v>
      </c>
      <c r="K31" s="18">
        <v>10</v>
      </c>
    </row>
    <row r="32" spans="1:11">
      <c r="A32" s="17">
        <v>7</v>
      </c>
      <c r="B32" s="63">
        <v>2001.9313135405259</v>
      </c>
      <c r="C32" s="64">
        <v>4.1656044076297329E+32</v>
      </c>
      <c r="D32" s="64">
        <v>1.5909747630962284E+35</v>
      </c>
      <c r="E32" s="64">
        <v>6.7482791403601672E+35</v>
      </c>
      <c r="F32" s="60">
        <v>998</v>
      </c>
      <c r="G32" s="11">
        <f t="shared" si="2"/>
        <v>1551.2000000000003</v>
      </c>
      <c r="H32" s="11">
        <v>1.0000000000000001E-9</v>
      </c>
      <c r="I32" s="11">
        <v>1</v>
      </c>
      <c r="J32" s="60">
        <f t="shared" si="1"/>
        <v>2000.9313135405259</v>
      </c>
      <c r="K32" s="18">
        <v>10</v>
      </c>
    </row>
    <row r="33" spans="1:11">
      <c r="A33" s="17">
        <v>8</v>
      </c>
      <c r="B33" s="63">
        <v>2001.9313207050682</v>
      </c>
      <c r="C33" s="64">
        <v>4.1656043294883314E+32</v>
      </c>
      <c r="D33" s="64">
        <v>1.5909747630962284E+35</v>
      </c>
      <c r="E33" s="64">
        <v>6.7482790137710964E+35</v>
      </c>
      <c r="F33" s="60">
        <v>914</v>
      </c>
      <c r="G33" s="11">
        <f t="shared" si="2"/>
        <v>1551.4000000000003</v>
      </c>
      <c r="H33" s="11">
        <v>1.0000000000000001E-9</v>
      </c>
      <c r="I33" s="11">
        <v>1</v>
      </c>
      <c r="J33" s="60">
        <f t="shared" si="1"/>
        <v>2000.9313207050682</v>
      </c>
      <c r="K33" s="18">
        <v>10</v>
      </c>
    </row>
    <row r="34" spans="1:11">
      <c r="A34" s="17">
        <v>9</v>
      </c>
      <c r="B34" s="63">
        <v>2001.9313265192909</v>
      </c>
      <c r="C34" s="64">
        <v>4.1656042660744428E+32</v>
      </c>
      <c r="D34" s="64">
        <v>1.5909747630962292E+35</v>
      </c>
      <c r="E34" s="64">
        <v>6.7482789110405972E+35</v>
      </c>
      <c r="F34" s="60">
        <v>845</v>
      </c>
      <c r="G34" s="11">
        <f t="shared" si="2"/>
        <v>1551.6000000000004</v>
      </c>
      <c r="H34" s="11">
        <v>1.0000000000000001E-9</v>
      </c>
      <c r="I34" s="11">
        <v>1</v>
      </c>
      <c r="J34" s="60">
        <f t="shared" si="1"/>
        <v>2000.9313265192909</v>
      </c>
      <c r="K34" s="18">
        <v>10</v>
      </c>
    </row>
    <row r="35" spans="1:11">
      <c r="A35" s="17">
        <v>10</v>
      </c>
      <c r="B35" s="63">
        <v>2001.9313243334557</v>
      </c>
      <c r="C35" s="64">
        <v>4.1656042899146502E+32</v>
      </c>
      <c r="D35" s="64">
        <v>1.5909747630962266E+35</v>
      </c>
      <c r="E35" s="64">
        <v>6.7482789496617336E+35</v>
      </c>
      <c r="F35" s="60">
        <v>792</v>
      </c>
      <c r="G35" s="11">
        <f t="shared" si="2"/>
        <v>1551.8000000000004</v>
      </c>
      <c r="H35" s="11">
        <v>1.0000000000000001E-9</v>
      </c>
      <c r="I35" s="11">
        <v>1</v>
      </c>
      <c r="J35" s="60">
        <f t="shared" si="1"/>
        <v>2000.9313243334557</v>
      </c>
      <c r="K35" s="18">
        <v>10</v>
      </c>
    </row>
    <row r="36" spans="1:11">
      <c r="A36" s="17">
        <v>11</v>
      </c>
      <c r="B36" s="63">
        <v>2001.9313361415986</v>
      </c>
      <c r="C36" s="64">
        <v>4.1656041611269879E+32</v>
      </c>
      <c r="D36" s="64">
        <v>1.5909747630962336E+35</v>
      </c>
      <c r="E36" s="64">
        <v>6.74827874102572E+35</v>
      </c>
      <c r="F36" s="60">
        <v>746</v>
      </c>
      <c r="G36" s="11">
        <f t="shared" si="2"/>
        <v>1552.0000000000005</v>
      </c>
      <c r="H36" s="11">
        <v>1.0000000000000001E-9</v>
      </c>
      <c r="I36" s="11">
        <v>1</v>
      </c>
      <c r="J36" s="60">
        <f t="shared" si="1"/>
        <v>2000.9313361415986</v>
      </c>
      <c r="K36" s="18">
        <v>10</v>
      </c>
    </row>
    <row r="37" spans="1:11">
      <c r="A37" s="17">
        <v>12</v>
      </c>
      <c r="B37" s="63">
        <v>2001.9313141011366</v>
      </c>
      <c r="C37" s="64">
        <v>4.1656044015152959E+32</v>
      </c>
      <c r="D37" s="64">
        <v>1.5909747630962159E+35</v>
      </c>
      <c r="E37" s="64">
        <v>6.7482791304547792E+35</v>
      </c>
      <c r="F37" s="60">
        <v>698</v>
      </c>
      <c r="G37" s="11">
        <f t="shared" si="2"/>
        <v>1552.2000000000005</v>
      </c>
      <c r="H37" s="11">
        <v>1.0000000000000001E-9</v>
      </c>
      <c r="I37" s="11">
        <v>1</v>
      </c>
      <c r="J37" s="60">
        <f t="shared" si="1"/>
        <v>2000.9313141011366</v>
      </c>
      <c r="K37" s="18">
        <v>10</v>
      </c>
    </row>
    <row r="38" spans="1:11">
      <c r="A38" s="17">
        <v>13</v>
      </c>
      <c r="B38" s="63">
        <v>2001.9313196277033</v>
      </c>
      <c r="C38" s="64">
        <v>4.1656043412388064E+32</v>
      </c>
      <c r="D38" s="64">
        <v>1.5909747630962269E+35</v>
      </c>
      <c r="E38" s="64">
        <v>6.7482790328068671E+35</v>
      </c>
      <c r="F38" s="60">
        <v>671</v>
      </c>
      <c r="G38" s="11">
        <f t="shared" si="2"/>
        <v>1552.4000000000005</v>
      </c>
      <c r="H38" s="11">
        <v>1.0000000000000001E-9</v>
      </c>
      <c r="I38" s="11">
        <v>1</v>
      </c>
      <c r="J38" s="60">
        <f t="shared" si="1"/>
        <v>2000.9313196277033</v>
      </c>
      <c r="K38" s="18">
        <v>10</v>
      </c>
    </row>
    <row r="39" spans="1:11">
      <c r="A39" s="17">
        <v>14</v>
      </c>
      <c r="B39" s="63">
        <v>2001.9313087350201</v>
      </c>
      <c r="C39" s="64">
        <v>4.1656044600418392E+32</v>
      </c>
      <c r="D39" s="64">
        <v>1.5909747630962166E+35</v>
      </c>
      <c r="E39" s="64">
        <v>6.7482792252677794E+35</v>
      </c>
      <c r="F39" s="60">
        <v>638</v>
      </c>
      <c r="G39" s="11">
        <f t="shared" si="2"/>
        <v>1552.6000000000006</v>
      </c>
      <c r="H39" s="11">
        <v>1.0000000000000001E-9</v>
      </c>
      <c r="I39" s="11">
        <v>1</v>
      </c>
      <c r="J39" s="60">
        <f t="shared" si="1"/>
        <v>2000.9313087350201</v>
      </c>
      <c r="K39" s="18">
        <v>10</v>
      </c>
    </row>
    <row r="40" spans="1:11">
      <c r="A40" s="17">
        <v>15</v>
      </c>
      <c r="B40" s="63">
        <v>2001.9313432646804</v>
      </c>
      <c r="C40" s="64">
        <v>4.1656040834377953E+32</v>
      </c>
      <c r="D40" s="64">
        <v>1.5909747630962351E+35</v>
      </c>
      <c r="E40" s="64">
        <v>6.7482786151692284E+35</v>
      </c>
      <c r="F40" s="60">
        <v>605</v>
      </c>
      <c r="G40" s="11">
        <f t="shared" si="2"/>
        <v>1552.8000000000006</v>
      </c>
      <c r="H40" s="11">
        <v>1.0000000000000001E-9</v>
      </c>
      <c r="I40" s="11">
        <v>1</v>
      </c>
      <c r="J40" s="60">
        <f t="shared" si="1"/>
        <v>2000.9313432646804</v>
      </c>
      <c r="K40" s="18">
        <v>10</v>
      </c>
    </row>
    <row r="41" spans="1:11">
      <c r="A41" s="17">
        <v>16</v>
      </c>
      <c r="B41" s="63">
        <v>2001.9312869963971</v>
      </c>
      <c r="C41" s="64">
        <v>4.1656046971381413E+32</v>
      </c>
      <c r="D41" s="64">
        <v>1.5909747630962074E+35</v>
      </c>
      <c r="E41" s="64">
        <v>6.748279609363789E+35</v>
      </c>
      <c r="F41" s="60">
        <v>561</v>
      </c>
      <c r="G41" s="11">
        <f t="shared" si="2"/>
        <v>1553.0000000000007</v>
      </c>
      <c r="H41" s="11">
        <v>1.0000000000000001E-9</v>
      </c>
      <c r="I41" s="11">
        <v>1</v>
      </c>
      <c r="J41" s="60">
        <f t="shared" si="1"/>
        <v>2000.9312869963971</v>
      </c>
      <c r="K41" s="18">
        <v>10</v>
      </c>
    </row>
    <row r="42" spans="1:11">
      <c r="A42" s="17">
        <v>17</v>
      </c>
      <c r="B42" s="63">
        <v>2001.9313387760315</v>
      </c>
      <c r="C42" s="64">
        <v>4.1656041323940475E+32</v>
      </c>
      <c r="D42" s="64">
        <v>1.5909747630962275E+35</v>
      </c>
      <c r="E42" s="64">
        <v>6.7482786944783571E+35</v>
      </c>
      <c r="F42" s="60">
        <v>540</v>
      </c>
      <c r="G42" s="11">
        <f t="shared" si="2"/>
        <v>1553.2000000000007</v>
      </c>
      <c r="H42" s="11">
        <v>1.0000000000000001E-9</v>
      </c>
      <c r="I42" s="11">
        <v>1</v>
      </c>
      <c r="J42" s="60">
        <f t="shared" si="1"/>
        <v>2000.9313387760315</v>
      </c>
      <c r="K42" s="18">
        <v>10</v>
      </c>
    </row>
    <row r="43" spans="1:11">
      <c r="A43" s="17">
        <v>18</v>
      </c>
      <c r="B43" s="63">
        <v>2001.9312920000957</v>
      </c>
      <c r="C43" s="64">
        <v>4.1656046425644016E+32</v>
      </c>
      <c r="D43" s="64">
        <v>1.5909747630962188E+35</v>
      </c>
      <c r="E43" s="64">
        <v>6.748279520954331E+35</v>
      </c>
      <c r="F43" s="60">
        <v>521</v>
      </c>
      <c r="G43" s="11">
        <f t="shared" si="2"/>
        <v>1553.4000000000008</v>
      </c>
      <c r="H43" s="11">
        <v>1.0000000000000001E-9</v>
      </c>
      <c r="I43" s="11">
        <v>1</v>
      </c>
      <c r="J43" s="60">
        <f t="shared" si="1"/>
        <v>2000.9312920000957</v>
      </c>
      <c r="K43" s="18">
        <v>10</v>
      </c>
    </row>
    <row r="44" spans="1:11">
      <c r="A44" s="17">
        <v>19</v>
      </c>
      <c r="B44" s="63">
        <v>2001.9313029477005</v>
      </c>
      <c r="C44" s="64">
        <v>4.1656045231623216E+32</v>
      </c>
      <c r="D44" s="64">
        <v>1.5909747630962201E+35</v>
      </c>
      <c r="E44" s="64">
        <v>6.7482793275229606E+35</v>
      </c>
      <c r="F44" s="60">
        <v>517</v>
      </c>
      <c r="G44" s="11">
        <f t="shared" si="2"/>
        <v>1553.6000000000008</v>
      </c>
      <c r="H44" s="11">
        <v>1.0000000000000001E-9</v>
      </c>
      <c r="I44" s="11">
        <v>1</v>
      </c>
      <c r="J44" s="60">
        <f t="shared" si="1"/>
        <v>2000.9313029477005</v>
      </c>
      <c r="K44" s="18">
        <v>10</v>
      </c>
    </row>
    <row r="45" spans="1:11">
      <c r="A45" s="17">
        <v>20</v>
      </c>
      <c r="B45" s="63">
        <v>2001.9312679297427</v>
      </c>
      <c r="C45" s="64">
        <v>4.1656049050921647E+32</v>
      </c>
      <c r="D45" s="64">
        <v>1.5909747630962061E+35</v>
      </c>
      <c r="E45" s="64">
        <v>6.7482799462493061E+35</v>
      </c>
      <c r="F45" s="60">
        <v>481</v>
      </c>
      <c r="G45" s="11">
        <f t="shared" si="2"/>
        <v>1553.8000000000009</v>
      </c>
      <c r="H45" s="11">
        <v>1.0000000000000001E-9</v>
      </c>
      <c r="I45" s="11">
        <v>1</v>
      </c>
      <c r="J45" s="60">
        <f t="shared" si="1"/>
        <v>2000.9312679297427</v>
      </c>
      <c r="K45" s="18">
        <v>10</v>
      </c>
    </row>
    <row r="46" spans="1:11">
      <c r="A46" s="17">
        <v>21</v>
      </c>
      <c r="B46" s="63">
        <v>2001.9313182904962</v>
      </c>
      <c r="C46" s="64">
        <v>4.1656043558232995E+32</v>
      </c>
      <c r="D46" s="64">
        <v>1.5909747630962258E+35</v>
      </c>
      <c r="E46" s="64">
        <v>6.7482790564337447E+35</v>
      </c>
      <c r="F46" s="60">
        <v>480</v>
      </c>
      <c r="G46" s="11">
        <f t="shared" si="2"/>
        <v>1554.0000000000009</v>
      </c>
      <c r="H46" s="11">
        <v>1.0000000000000001E-9</v>
      </c>
      <c r="I46" s="11">
        <v>1</v>
      </c>
      <c r="J46" s="60">
        <f t="shared" si="1"/>
        <v>2000.9313182904962</v>
      </c>
      <c r="K46" s="18">
        <v>10</v>
      </c>
    </row>
    <row r="47" spans="1:11">
      <c r="A47" s="17">
        <v>22</v>
      </c>
      <c r="B47" s="63">
        <v>2001.9313153133285</v>
      </c>
      <c r="C47" s="64">
        <v>4.1656043882943415E+32</v>
      </c>
      <c r="D47" s="64">
        <v>1.5909747630962308E+35</v>
      </c>
      <c r="E47" s="64">
        <v>6.7482791090368328E+35</v>
      </c>
      <c r="F47" s="60">
        <v>460</v>
      </c>
      <c r="G47" s="11">
        <f t="shared" si="2"/>
        <v>1554.200000000001</v>
      </c>
      <c r="H47" s="11">
        <v>1.0000000000000001E-9</v>
      </c>
      <c r="I47" s="11">
        <v>1</v>
      </c>
      <c r="J47" s="60">
        <f t="shared" si="1"/>
        <v>2000.9313153133285</v>
      </c>
      <c r="K47" s="18">
        <v>10</v>
      </c>
    </row>
    <row r="48" spans="1:11">
      <c r="A48" s="17">
        <v>23</v>
      </c>
      <c r="B48" s="63">
        <v>2001.931289604833</v>
      </c>
      <c r="C48" s="64">
        <v>4.1656046686887792E+32</v>
      </c>
      <c r="D48" s="64">
        <v>1.5909747630962185E+35</v>
      </c>
      <c r="E48" s="64">
        <v>6.7482795632758223E+35</v>
      </c>
      <c r="F48" s="60">
        <v>441</v>
      </c>
      <c r="G48" s="11">
        <f t="shared" si="2"/>
        <v>1554.400000000001</v>
      </c>
      <c r="H48" s="11">
        <v>1.0000000000000001E-9</v>
      </c>
      <c r="I48" s="11">
        <v>1</v>
      </c>
      <c r="J48" s="60">
        <f t="shared" si="1"/>
        <v>2000.931289604833</v>
      </c>
      <c r="K48" s="18">
        <v>10</v>
      </c>
    </row>
    <row r="49" spans="1:12">
      <c r="A49" s="17">
        <v>24</v>
      </c>
      <c r="B49" s="63">
        <v>2001.9313504163038</v>
      </c>
      <c r="C49" s="64">
        <v>4.1656040054372872E+32</v>
      </c>
      <c r="D49" s="64">
        <v>1.5909747630962269E+35</v>
      </c>
      <c r="E49" s="64">
        <v>6.7482784888084058E+35</v>
      </c>
      <c r="F49" s="60">
        <v>437</v>
      </c>
      <c r="G49" s="11">
        <f t="shared" si="2"/>
        <v>1554.600000000001</v>
      </c>
      <c r="H49" s="11">
        <v>1.0000000000000001E-9</v>
      </c>
      <c r="I49" s="11">
        <v>1</v>
      </c>
      <c r="J49" s="60">
        <f t="shared" si="1"/>
        <v>2000.9313504163038</v>
      </c>
      <c r="K49" s="18">
        <v>10</v>
      </c>
    </row>
    <row r="50" spans="1:12">
      <c r="A50" s="17">
        <v>25</v>
      </c>
      <c r="B50" s="63">
        <v>2001.9313321040661</v>
      </c>
      <c r="C50" s="64">
        <v>4.1656042051630697E+32</v>
      </c>
      <c r="D50" s="64">
        <v>1.5909747630962306E+35</v>
      </c>
      <c r="E50" s="64">
        <v>6.7482788123641729E+35</v>
      </c>
      <c r="F50" s="60">
        <v>443</v>
      </c>
      <c r="G50" s="11">
        <f t="shared" si="2"/>
        <v>1554.8000000000011</v>
      </c>
      <c r="H50" s="11">
        <v>1.0000000000000001E-9</v>
      </c>
      <c r="I50" s="11">
        <v>1</v>
      </c>
      <c r="J50" s="60">
        <f t="shared" si="1"/>
        <v>2000.9313321040661</v>
      </c>
      <c r="K50" s="18">
        <v>10</v>
      </c>
    </row>
    <row r="51" spans="1:12">
      <c r="A51" s="17">
        <v>26</v>
      </c>
      <c r="B51" s="63">
        <v>2001.9313103721968</v>
      </c>
      <c r="C51" s="64">
        <v>4.1656044421856871E+32</v>
      </c>
      <c r="D51" s="64">
        <v>1.5909747630962233E+35</v>
      </c>
      <c r="E51" s="64">
        <v>6.7482791963408128E+35</v>
      </c>
      <c r="F51" s="60">
        <v>401</v>
      </c>
      <c r="G51" s="11">
        <f t="shared" si="2"/>
        <v>1555.0000000000011</v>
      </c>
      <c r="H51" s="11">
        <v>1.0000000000000001E-9</v>
      </c>
      <c r="I51" s="11">
        <v>1</v>
      </c>
      <c r="J51" s="60">
        <f t="shared" si="1"/>
        <v>2000.9313103721968</v>
      </c>
      <c r="K51" s="18">
        <v>10</v>
      </c>
    </row>
    <row r="52" spans="1:12">
      <c r="A52" s="17">
        <v>27</v>
      </c>
      <c r="B52" s="63">
        <v>2001.9312862886466</v>
      </c>
      <c r="C52" s="64">
        <v>4.1656047048573745E+32</v>
      </c>
      <c r="D52" s="64">
        <v>1.590974763096215E+35</v>
      </c>
      <c r="E52" s="64">
        <v>6.748279621868946E+35</v>
      </c>
      <c r="F52" s="60">
        <v>402</v>
      </c>
      <c r="G52" s="11">
        <f t="shared" si="2"/>
        <v>1555.2000000000012</v>
      </c>
      <c r="H52" s="11">
        <v>1.0000000000000001E-9</v>
      </c>
      <c r="I52" s="11">
        <v>1</v>
      </c>
      <c r="J52" s="60">
        <f t="shared" si="1"/>
        <v>2000.9312862886466</v>
      </c>
      <c r="K52" s="18">
        <v>10</v>
      </c>
    </row>
    <row r="53" spans="1:12">
      <c r="A53" s="17">
        <v>28</v>
      </c>
      <c r="B53" s="63">
        <v>2001.9313243366496</v>
      </c>
      <c r="C53" s="64">
        <v>4.1656042898798132E+32</v>
      </c>
      <c r="D53" s="64">
        <v>1.5909747630962258E+35</v>
      </c>
      <c r="E53" s="64">
        <v>6.7482789496052969E+35</v>
      </c>
      <c r="F53" s="60">
        <v>403</v>
      </c>
      <c r="G53" s="11">
        <f t="shared" si="2"/>
        <v>1555.4000000000012</v>
      </c>
      <c r="H53" s="11">
        <v>1.0000000000000001E-9</v>
      </c>
      <c r="I53" s="11">
        <v>1</v>
      </c>
      <c r="J53" s="60">
        <f t="shared" si="1"/>
        <v>2000.9313243366496</v>
      </c>
      <c r="K53" s="18">
        <v>10</v>
      </c>
    </row>
    <row r="54" spans="1:12">
      <c r="A54" s="17">
        <v>29</v>
      </c>
      <c r="B54" s="63">
        <v>2001.9312921782659</v>
      </c>
      <c r="C54" s="64">
        <v>4.165604640621148E+32</v>
      </c>
      <c r="D54" s="64">
        <v>1.5909747630962162E+35</v>
      </c>
      <c r="E54" s="64">
        <v>6.7482795178062598E+35</v>
      </c>
      <c r="F54" s="60">
        <v>390</v>
      </c>
      <c r="G54" s="11">
        <f t="shared" si="2"/>
        <v>1555.6000000000013</v>
      </c>
      <c r="H54" s="11">
        <v>1.0000000000000001E-9</v>
      </c>
      <c r="I54" s="11">
        <v>1</v>
      </c>
      <c r="J54" s="60">
        <f t="shared" si="1"/>
        <v>2000.9312921782659</v>
      </c>
      <c r="K54" s="18">
        <v>10</v>
      </c>
    </row>
    <row r="55" spans="1:12">
      <c r="A55" s="17">
        <v>30</v>
      </c>
      <c r="B55" s="63">
        <v>2001.9312992997468</v>
      </c>
      <c r="C55" s="64">
        <v>4.1656045629494092E+32</v>
      </c>
      <c r="D55" s="64">
        <v>1.5909747630962218E+35</v>
      </c>
      <c r="E55" s="64">
        <v>6.7482793919780434E+35</v>
      </c>
      <c r="F55" s="60">
        <v>345</v>
      </c>
      <c r="G55" s="11">
        <f t="shared" si="2"/>
        <v>1555.8000000000013</v>
      </c>
      <c r="H55" s="11">
        <v>1.0000000000000001E-9</v>
      </c>
      <c r="I55" s="11">
        <v>1</v>
      </c>
      <c r="J55" s="60">
        <f t="shared" si="1"/>
        <v>2000.9312992997468</v>
      </c>
      <c r="K55" s="18">
        <v>10</v>
      </c>
    </row>
    <row r="56" spans="1:12">
      <c r="A56" s="17">
        <v>31</v>
      </c>
      <c r="B56" s="63">
        <v>2001.9313509415977</v>
      </c>
      <c r="C56" s="64">
        <v>4.1656039997080736E+32</v>
      </c>
      <c r="D56" s="64">
        <v>1.5909747630962271E+35</v>
      </c>
      <c r="E56" s="64">
        <v>6.7482784795270785E+35</v>
      </c>
      <c r="F56" s="60">
        <v>385</v>
      </c>
      <c r="G56" s="11">
        <f t="shared" si="2"/>
        <v>1556.0000000000014</v>
      </c>
      <c r="H56" s="11">
        <v>1.0000000000000001E-9</v>
      </c>
      <c r="I56" s="11">
        <v>1</v>
      </c>
      <c r="J56" s="60">
        <f t="shared" si="1"/>
        <v>2000.9313509415977</v>
      </c>
      <c r="K56" s="18">
        <v>10</v>
      </c>
    </row>
    <row r="57" spans="1:12">
      <c r="A57" s="17">
        <v>32</v>
      </c>
      <c r="B57" s="63">
        <v>2001.9313051703252</v>
      </c>
      <c r="C57" s="64">
        <v>4.165604498920847E+32</v>
      </c>
      <c r="D57" s="64">
        <v>1.5909747630962177E+35</v>
      </c>
      <c r="E57" s="64">
        <v>6.7482792882517727E+35</v>
      </c>
      <c r="F57" s="60">
        <v>351</v>
      </c>
      <c r="G57" s="11">
        <f t="shared" si="2"/>
        <v>1556.2000000000014</v>
      </c>
      <c r="H57" s="11">
        <v>1.0000000000000001E-9</v>
      </c>
      <c r="I57" s="11">
        <v>1</v>
      </c>
      <c r="J57" s="60">
        <f t="shared" si="1"/>
        <v>2000.9313051703252</v>
      </c>
      <c r="K57" s="18">
        <v>10</v>
      </c>
    </row>
    <row r="58" spans="1:12">
      <c r="A58" s="17">
        <v>33</v>
      </c>
      <c r="B58" s="63">
        <v>2001.9313016182268</v>
      </c>
      <c r="C58" s="64">
        <v>4.1656045376624597E+32</v>
      </c>
      <c r="D58" s="64">
        <v>1.5909747630962151E+35</v>
      </c>
      <c r="E58" s="64">
        <v>6.7482793510131847E+35</v>
      </c>
      <c r="F58" s="60">
        <v>346</v>
      </c>
      <c r="G58" s="11">
        <f t="shared" si="2"/>
        <v>1556.4000000000015</v>
      </c>
      <c r="H58" s="11">
        <v>1.0000000000000001E-9</v>
      </c>
      <c r="I58" s="11">
        <v>1</v>
      </c>
      <c r="J58" s="60">
        <f t="shared" si="1"/>
        <v>2000.9313016182268</v>
      </c>
      <c r="K58" s="18">
        <v>10</v>
      </c>
    </row>
    <row r="59" spans="1:12" ht="13.15" thickBot="1">
      <c r="A59" s="19">
        <v>34</v>
      </c>
      <c r="B59" s="65">
        <v>2001.9313122259077</v>
      </c>
      <c r="C59" s="66">
        <v>4.1656044219678488E+32</v>
      </c>
      <c r="D59" s="66">
        <v>1.5909747630962244E+35</v>
      </c>
      <c r="E59" s="66">
        <v>6.7482791635879148E+35</v>
      </c>
      <c r="F59" s="61">
        <v>327</v>
      </c>
      <c r="G59" s="20">
        <f t="shared" si="2"/>
        <v>1556.6000000000015</v>
      </c>
      <c r="H59" s="20">
        <v>1.0000000000000001E-9</v>
      </c>
      <c r="I59" s="20">
        <v>1</v>
      </c>
      <c r="J59" s="61">
        <f t="shared" si="1"/>
        <v>2000.9313122259077</v>
      </c>
      <c r="K59" s="18">
        <v>10</v>
      </c>
    </row>
    <row r="60" spans="1:12" ht="13.15" thickBot="1"/>
    <row r="61" spans="1:12" ht="13.5" thickBot="1">
      <c r="A61" s="56" t="s">
        <v>59</v>
      </c>
      <c r="I61" s="108">
        <v>66.697711555389731</v>
      </c>
    </row>
    <row r="62" spans="1:12" ht="32.65" thickBot="1">
      <c r="A62" s="57" t="s">
        <v>4</v>
      </c>
      <c r="B62" s="58" t="s">
        <v>5</v>
      </c>
      <c r="C62" s="58" t="s">
        <v>8</v>
      </c>
      <c r="D62" s="58" t="s">
        <v>6</v>
      </c>
      <c r="E62" s="58" t="s">
        <v>9</v>
      </c>
      <c r="F62" s="58" t="s">
        <v>49</v>
      </c>
      <c r="G62" s="58" t="s">
        <v>48</v>
      </c>
      <c r="H62" s="58" t="s">
        <v>13</v>
      </c>
      <c r="I62" s="58" t="s">
        <v>7</v>
      </c>
      <c r="J62" s="58" t="s">
        <v>26</v>
      </c>
      <c r="K62" s="59" t="s">
        <v>32</v>
      </c>
      <c r="L62">
        <v>433.08536772608625</v>
      </c>
    </row>
    <row r="63" spans="1:12">
      <c r="A63" s="14">
        <v>1</v>
      </c>
      <c r="B63" s="67">
        <v>2001.9313818689982</v>
      </c>
      <c r="C63" s="68">
        <v>4.1656036623927425E+32</v>
      </c>
      <c r="D63" s="68">
        <v>1.5909747630962199E+35</v>
      </c>
      <c r="E63" s="68">
        <v>6.7482779330762421E+35</v>
      </c>
      <c r="F63" s="25">
        <v>2077</v>
      </c>
      <c r="G63" s="15">
        <v>1</v>
      </c>
      <c r="H63" s="15">
        <v>1.0000000000000001E-9</v>
      </c>
      <c r="I63" s="109">
        <f t="shared" ref="I63:I92" si="3">I64-$I$61</f>
        <v>0.99999999999772626</v>
      </c>
      <c r="J63" s="25">
        <f>ABS(I63-$B$85)</f>
        <v>2000.9313749865755</v>
      </c>
      <c r="K63" s="16">
        <v>10</v>
      </c>
    </row>
    <row r="64" spans="1:12">
      <c r="A64" s="17">
        <v>2</v>
      </c>
      <c r="B64" s="63">
        <v>2001.9313834133879</v>
      </c>
      <c r="C64" s="64">
        <v>4.1656036455485924E+32</v>
      </c>
      <c r="D64" s="64">
        <v>1.590974763096226E+35</v>
      </c>
      <c r="E64" s="64">
        <v>6.7482779057887203E+35</v>
      </c>
      <c r="F64" s="60">
        <v>1998</v>
      </c>
      <c r="G64" s="11">
        <v>1</v>
      </c>
      <c r="H64" s="11">
        <v>1.0000000000000001E-9</v>
      </c>
      <c r="I64" s="110">
        <f t="shared" si="3"/>
        <v>67.697711555387457</v>
      </c>
      <c r="J64" s="60">
        <f t="shared" ref="J64:J120" si="4">ABS(I64-$B$85)</f>
        <v>1934.2336634311857</v>
      </c>
      <c r="K64" s="18">
        <v>10</v>
      </c>
    </row>
    <row r="65" spans="1:12">
      <c r="A65" s="17">
        <v>3</v>
      </c>
      <c r="B65" s="63">
        <v>2001.9313849777782</v>
      </c>
      <c r="C65" s="64">
        <v>4.1656036284862722E+32</v>
      </c>
      <c r="D65" s="64">
        <v>1.5909747630962201E+35</v>
      </c>
      <c r="E65" s="64">
        <v>6.7482778781477604E+35</v>
      </c>
      <c r="F65" s="60">
        <v>1943</v>
      </c>
      <c r="G65" s="11">
        <v>1</v>
      </c>
      <c r="H65" s="11">
        <v>1.0000000000000001E-9</v>
      </c>
      <c r="I65" s="110">
        <f t="shared" si="3"/>
        <v>134.39542311077719</v>
      </c>
      <c r="J65" s="60">
        <f t="shared" si="4"/>
        <v>1867.5359518757959</v>
      </c>
      <c r="K65" s="18">
        <v>10</v>
      </c>
    </row>
    <row r="66" spans="1:12">
      <c r="A66" s="17">
        <v>4</v>
      </c>
      <c r="B66" s="63">
        <v>2001.9313651741677</v>
      </c>
      <c r="C66" s="64">
        <v>4.1656038444779534E+32</v>
      </c>
      <c r="D66" s="64">
        <v>1.590974763096226E+35</v>
      </c>
      <c r="E66" s="64">
        <v>6.7482782280542838E+35</v>
      </c>
      <c r="F66" s="60">
        <v>1872</v>
      </c>
      <c r="G66" s="11">
        <v>1</v>
      </c>
      <c r="H66" s="11">
        <v>1.0000000000000001E-9</v>
      </c>
      <c r="I66" s="110">
        <f t="shared" si="3"/>
        <v>201.09313466616692</v>
      </c>
      <c r="J66" s="60">
        <f t="shared" si="4"/>
        <v>1800.8382403204064</v>
      </c>
      <c r="K66" s="18">
        <v>10</v>
      </c>
    </row>
    <row r="67" spans="1:12">
      <c r="A67" s="17">
        <v>5</v>
      </c>
      <c r="B67" s="63">
        <v>2001.9313680805571</v>
      </c>
      <c r="C67" s="64">
        <v>4.1656038127788709E+32</v>
      </c>
      <c r="D67" s="64">
        <v>1.5909747630962192E+35</v>
      </c>
      <c r="E67" s="64">
        <v>6.7482781767017713E+35</v>
      </c>
      <c r="F67" s="60">
        <v>1795</v>
      </c>
      <c r="G67" s="11">
        <v>1</v>
      </c>
      <c r="H67" s="11">
        <v>1.0000000000000001E-9</v>
      </c>
      <c r="I67" s="110">
        <f t="shared" si="3"/>
        <v>267.79084622155665</v>
      </c>
      <c r="J67" s="60">
        <f t="shared" si="4"/>
        <v>1734.1405287650166</v>
      </c>
      <c r="K67" s="18">
        <v>10</v>
      </c>
    </row>
    <row r="68" spans="1:12">
      <c r="A68" s="17">
        <v>6</v>
      </c>
      <c r="B68" s="63">
        <v>2001.9313635849476</v>
      </c>
      <c r="C68" s="64">
        <v>4.1656038618110697E+32</v>
      </c>
      <c r="D68" s="64">
        <v>1.5909747630962253E+35</v>
      </c>
      <c r="E68" s="64">
        <v>6.7482782561339324E+35</v>
      </c>
      <c r="F68" s="60">
        <v>1728</v>
      </c>
      <c r="G68" s="11">
        <v>1</v>
      </c>
      <c r="H68" s="11">
        <v>1.0000000000000001E-9</v>
      </c>
      <c r="I68" s="110">
        <f t="shared" si="3"/>
        <v>334.48855777694638</v>
      </c>
      <c r="J68" s="60">
        <f t="shared" si="4"/>
        <v>1667.4428172096268</v>
      </c>
      <c r="K68" s="18">
        <v>10</v>
      </c>
    </row>
    <row r="69" spans="1:12">
      <c r="A69" s="17">
        <v>7</v>
      </c>
      <c r="B69" s="63">
        <v>2001.9313748903371</v>
      </c>
      <c r="C69" s="64">
        <v>4.1656037385067899E+32</v>
      </c>
      <c r="D69" s="64">
        <v>1.5909747630962266E+35</v>
      </c>
      <c r="E69" s="64">
        <v>6.748278056381E+35</v>
      </c>
      <c r="F69" s="60">
        <v>1689</v>
      </c>
      <c r="G69" s="11">
        <v>1</v>
      </c>
      <c r="H69" s="11">
        <v>1.0000000000000001E-9</v>
      </c>
      <c r="I69" s="110">
        <f t="shared" si="3"/>
        <v>401.18626933233611</v>
      </c>
      <c r="J69" s="60">
        <f t="shared" si="4"/>
        <v>1600.7451056542372</v>
      </c>
      <c r="K69" s="18">
        <v>10</v>
      </c>
    </row>
    <row r="70" spans="1:12">
      <c r="A70" s="17">
        <v>8</v>
      </c>
      <c r="B70" s="63">
        <v>2001.9313826557261</v>
      </c>
      <c r="C70" s="64">
        <v>4.1656036538121681E+32</v>
      </c>
      <c r="D70" s="64">
        <v>1.590974763096226E+35</v>
      </c>
      <c r="E70" s="64">
        <v>6.7482779191757129E+35</v>
      </c>
      <c r="F70" s="60">
        <v>1615</v>
      </c>
      <c r="G70" s="11">
        <v>1</v>
      </c>
      <c r="H70" s="11">
        <v>1.0000000000000001E-9</v>
      </c>
      <c r="I70" s="110">
        <f t="shared" si="3"/>
        <v>467.88398088772584</v>
      </c>
      <c r="J70" s="60">
        <f t="shared" si="4"/>
        <v>1534.0473940988475</v>
      </c>
      <c r="K70" s="18">
        <v>10</v>
      </c>
    </row>
    <row r="71" spans="1:12">
      <c r="A71" s="17">
        <v>9</v>
      </c>
      <c r="B71" s="63">
        <v>2001.9313943621164</v>
      </c>
      <c r="C71" s="64">
        <v>4.1656035261342872E+32</v>
      </c>
      <c r="D71" s="64">
        <v>1.5909747630962172E+35</v>
      </c>
      <c r="E71" s="64">
        <v>6.7482777123375455E+35</v>
      </c>
      <c r="F71" s="60">
        <v>1527</v>
      </c>
      <c r="G71" s="11">
        <v>1</v>
      </c>
      <c r="H71" s="11">
        <v>1.0000000000000001E-9</v>
      </c>
      <c r="I71" s="110">
        <f t="shared" si="3"/>
        <v>534.58169244311557</v>
      </c>
      <c r="J71" s="60">
        <f t="shared" si="4"/>
        <v>1467.3496825434577</v>
      </c>
      <c r="K71" s="18">
        <v>10</v>
      </c>
    </row>
    <row r="72" spans="1:12">
      <c r="A72" s="17">
        <v>10</v>
      </c>
      <c r="B72" s="63">
        <v>2001.9313858675062</v>
      </c>
      <c r="C72" s="64">
        <v>4.1656036187822911E+32</v>
      </c>
      <c r="D72" s="64">
        <v>1.5909747630962192E+35</v>
      </c>
      <c r="E72" s="64">
        <v>6.7482778624273123E+35</v>
      </c>
      <c r="F72" s="60">
        <v>1466</v>
      </c>
      <c r="G72" s="11">
        <v>1</v>
      </c>
      <c r="H72" s="11">
        <v>1.0000000000000001E-9</v>
      </c>
      <c r="I72" s="110">
        <f t="shared" si="3"/>
        <v>601.27940399850536</v>
      </c>
      <c r="J72" s="60">
        <f t="shared" si="4"/>
        <v>1400.6519709880679</v>
      </c>
      <c r="K72" s="18">
        <v>10</v>
      </c>
    </row>
    <row r="73" spans="1:12">
      <c r="A73" s="17">
        <v>11</v>
      </c>
      <c r="B73" s="63">
        <v>2001.9313683118955</v>
      </c>
      <c r="C73" s="64">
        <v>4.1656038102557563E+32</v>
      </c>
      <c r="D73" s="64">
        <v>1.5909747630962268E+35</v>
      </c>
      <c r="E73" s="64">
        <v>6.7482781726143255E+35</v>
      </c>
      <c r="F73" s="60">
        <v>1391</v>
      </c>
      <c r="G73" s="11">
        <v>1</v>
      </c>
      <c r="H73" s="11">
        <v>1.0000000000000001E-9</v>
      </c>
      <c r="I73" s="110">
        <f t="shared" si="3"/>
        <v>667.97711555389515</v>
      </c>
      <c r="J73" s="60">
        <f t="shared" si="4"/>
        <v>1333.9542594326781</v>
      </c>
      <c r="K73" s="18">
        <v>10</v>
      </c>
    </row>
    <row r="74" spans="1:12">
      <c r="A74" s="17">
        <v>12</v>
      </c>
      <c r="B74" s="63">
        <v>2001.9313678572853</v>
      </c>
      <c r="C74" s="64">
        <v>4.1656038152140501E+32</v>
      </c>
      <c r="D74" s="64">
        <v>1.5909747630962284E+35</v>
      </c>
      <c r="E74" s="64">
        <v>6.748278180646761E+35</v>
      </c>
      <c r="F74" s="60">
        <v>1320</v>
      </c>
      <c r="G74" s="11">
        <v>1</v>
      </c>
      <c r="H74" s="11">
        <v>1.0000000000000001E-9</v>
      </c>
      <c r="I74" s="110">
        <f t="shared" si="3"/>
        <v>734.67482710928493</v>
      </c>
      <c r="J74" s="60">
        <f t="shared" si="4"/>
        <v>1267.2565478772883</v>
      </c>
      <c r="K74" s="18">
        <v>10</v>
      </c>
      <c r="L74" s="132">
        <v>66.078986587183294</v>
      </c>
    </row>
    <row r="75" spans="1:12">
      <c r="A75" s="17">
        <v>13</v>
      </c>
      <c r="B75" s="63">
        <v>2001.931369372676</v>
      </c>
      <c r="C75" s="64">
        <v>4.165603798686158E+32</v>
      </c>
      <c r="D75" s="64">
        <v>1.5909747630962255E+35</v>
      </c>
      <c r="E75" s="64">
        <v>6.7482781538715761E+35</v>
      </c>
      <c r="F75" s="60">
        <v>1259</v>
      </c>
      <c r="G75" s="11">
        <v>1</v>
      </c>
      <c r="H75" s="11">
        <v>1.0000000000000001E-9</v>
      </c>
      <c r="I75" s="110">
        <f t="shared" si="3"/>
        <v>801.37253866467472</v>
      </c>
      <c r="J75" s="60">
        <f t="shared" si="4"/>
        <v>1200.5588363218985</v>
      </c>
      <c r="K75" s="18">
        <v>10</v>
      </c>
    </row>
    <row r="76" spans="1:12">
      <c r="A76" s="17">
        <v>14</v>
      </c>
      <c r="B76" s="63">
        <v>2001.9313709890648</v>
      </c>
      <c r="C76" s="64">
        <v>4.1656037810567322E+32</v>
      </c>
      <c r="D76" s="64">
        <v>1.5909747630962299E+35</v>
      </c>
      <c r="E76" s="64">
        <v>6.7482781253119064E+35</v>
      </c>
      <c r="F76" s="60">
        <v>1196</v>
      </c>
      <c r="G76" s="11">
        <v>1</v>
      </c>
      <c r="H76" s="11">
        <v>1.0000000000000001E-9</v>
      </c>
      <c r="I76" s="110">
        <f t="shared" si="3"/>
        <v>868.07025022006451</v>
      </c>
      <c r="J76" s="60">
        <f t="shared" si="4"/>
        <v>1133.8611247665087</v>
      </c>
      <c r="K76" s="18">
        <v>10</v>
      </c>
      <c r="L76" s="132">
        <v>31.602993585174602</v>
      </c>
    </row>
    <row r="77" spans="1:12">
      <c r="A77" s="17">
        <v>15</v>
      </c>
      <c r="B77" s="63">
        <v>2001.931363594455</v>
      </c>
      <c r="C77" s="64">
        <v>4.1656038617073572E+32</v>
      </c>
      <c r="D77" s="64">
        <v>1.5909747630962185E+35</v>
      </c>
      <c r="E77" s="64">
        <v>6.7482782559659179E+35</v>
      </c>
      <c r="F77" s="60">
        <v>1124</v>
      </c>
      <c r="G77" s="11">
        <v>1</v>
      </c>
      <c r="H77" s="11">
        <v>1.0000000000000001E-9</v>
      </c>
      <c r="I77" s="110">
        <f t="shared" si="3"/>
        <v>934.7679617754543</v>
      </c>
      <c r="J77" s="60">
        <f t="shared" si="4"/>
        <v>1067.163413211119</v>
      </c>
      <c r="K77" s="18">
        <v>10</v>
      </c>
      <c r="L77" s="132"/>
    </row>
    <row r="78" spans="1:12">
      <c r="A78" s="17">
        <v>16</v>
      </c>
      <c r="B78" s="63">
        <v>2001.9313651478449</v>
      </c>
      <c r="C78" s="64">
        <v>4.1656038447650575E+32</v>
      </c>
      <c r="D78" s="64">
        <v>1.5909747630962297E+35</v>
      </c>
      <c r="E78" s="64">
        <v>6.7482782285193926E+35</v>
      </c>
      <c r="F78" s="60">
        <v>1058</v>
      </c>
      <c r="G78" s="11">
        <v>1</v>
      </c>
      <c r="H78" s="11">
        <v>1.0000000000000001E-9</v>
      </c>
      <c r="I78" s="110">
        <f t="shared" si="3"/>
        <v>1001.4656733308441</v>
      </c>
      <c r="J78" s="60">
        <f t="shared" si="4"/>
        <v>1000.4657016557292</v>
      </c>
      <c r="K78" s="18">
        <v>10</v>
      </c>
      <c r="L78" s="132">
        <f>I77-I76</f>
        <v>66.697711555389787</v>
      </c>
    </row>
    <row r="79" spans="1:12">
      <c r="A79" s="17">
        <v>17</v>
      </c>
      <c r="B79" s="63">
        <v>2001.9313806342352</v>
      </c>
      <c r="C79" s="64">
        <v>4.1656036758599235E+32</v>
      </c>
      <c r="D79" s="64">
        <v>1.5909747630962258E+35</v>
      </c>
      <c r="E79" s="64">
        <v>6.7482779548930765E+35</v>
      </c>
      <c r="F79" s="60">
        <v>1007</v>
      </c>
      <c r="G79" s="11">
        <v>1</v>
      </c>
      <c r="H79" s="11">
        <v>1.0000000000000001E-9</v>
      </c>
      <c r="I79" s="110">
        <f t="shared" si="3"/>
        <v>1068.1633848862339</v>
      </c>
      <c r="J79" s="60">
        <f t="shared" si="4"/>
        <v>933.76799010033938</v>
      </c>
      <c r="K79" s="18">
        <v>10</v>
      </c>
    </row>
    <row r="80" spans="1:12">
      <c r="A80" s="17">
        <v>18</v>
      </c>
      <c r="B80" s="63">
        <v>2001.9313480606243</v>
      </c>
      <c r="C80" s="64">
        <v>4.165604031129939E+32</v>
      </c>
      <c r="D80" s="64">
        <v>1.5909747630962282E+35</v>
      </c>
      <c r="E80" s="64">
        <v>6.7482785304305013E+35</v>
      </c>
      <c r="F80" s="60">
        <v>924</v>
      </c>
      <c r="G80" s="11">
        <v>1</v>
      </c>
      <c r="H80" s="11">
        <v>1.0000000000000001E-9</v>
      </c>
      <c r="I80" s="110">
        <f t="shared" si="3"/>
        <v>1134.8610964416237</v>
      </c>
      <c r="J80" s="60">
        <f t="shared" si="4"/>
        <v>867.07027854494959</v>
      </c>
      <c r="K80" s="18">
        <v>10</v>
      </c>
    </row>
    <row r="81" spans="1:11">
      <c r="A81" s="17">
        <v>19</v>
      </c>
      <c r="B81" s="63">
        <v>2001.9313498510137</v>
      </c>
      <c r="C81" s="64">
        <v>4.1656040116027223E+32</v>
      </c>
      <c r="D81" s="64">
        <v>1.5909747630962255E+35</v>
      </c>
      <c r="E81" s="64">
        <v>6.7482784987964101E+35</v>
      </c>
      <c r="F81" s="60">
        <v>852</v>
      </c>
      <c r="G81" s="11">
        <v>1</v>
      </c>
      <c r="H81" s="11">
        <v>1.0000000000000001E-9</v>
      </c>
      <c r="I81" s="110">
        <f t="shared" si="3"/>
        <v>1201.5588079970134</v>
      </c>
      <c r="J81" s="60">
        <f t="shared" si="4"/>
        <v>800.3725669895598</v>
      </c>
      <c r="K81" s="18">
        <v>10</v>
      </c>
    </row>
    <row r="82" spans="1:11">
      <c r="A82" s="17">
        <v>20</v>
      </c>
      <c r="B82" s="63">
        <v>2001.9313513614045</v>
      </c>
      <c r="C82" s="64">
        <v>4.1656039951293792E+32</v>
      </c>
      <c r="D82" s="64">
        <v>1.5909747630962292E+35</v>
      </c>
      <c r="E82" s="64">
        <v>6.748278472109594E+35</v>
      </c>
      <c r="F82" s="60">
        <v>785</v>
      </c>
      <c r="G82" s="11">
        <v>1</v>
      </c>
      <c r="H82" s="11">
        <v>1.0000000000000001E-9</v>
      </c>
      <c r="I82" s="110">
        <f t="shared" si="3"/>
        <v>1268.2565195524032</v>
      </c>
      <c r="J82" s="60">
        <f t="shared" si="4"/>
        <v>733.67485543417001</v>
      </c>
      <c r="K82" s="18">
        <v>10</v>
      </c>
    </row>
    <row r="83" spans="1:11">
      <c r="A83" s="17">
        <v>21</v>
      </c>
      <c r="B83" s="63">
        <v>2001.9313529727935</v>
      </c>
      <c r="C83" s="64">
        <v>4.1656039775544729E+32</v>
      </c>
      <c r="D83" s="64">
        <v>1.5909747630962301E+35</v>
      </c>
      <c r="E83" s="64">
        <v>6.7482784436382458E+35</v>
      </c>
      <c r="F83" s="60">
        <v>738</v>
      </c>
      <c r="G83" s="11">
        <v>1</v>
      </c>
      <c r="H83" s="11">
        <v>1.0000000000000001E-9</v>
      </c>
      <c r="I83" s="110">
        <f t="shared" si="3"/>
        <v>1334.954231107793</v>
      </c>
      <c r="J83" s="60">
        <f t="shared" si="4"/>
        <v>666.97714387878023</v>
      </c>
      <c r="K83" s="18">
        <v>10</v>
      </c>
    </row>
    <row r="84" spans="1:11">
      <c r="A84" s="17">
        <v>22</v>
      </c>
      <c r="B84" s="63">
        <v>2001.9313752291828</v>
      </c>
      <c r="C84" s="64">
        <v>4.1656037348111044E+32</v>
      </c>
      <c r="D84" s="64">
        <v>1.5909747630962251E+35</v>
      </c>
      <c r="E84" s="64">
        <v>6.7482780503939897E+35</v>
      </c>
      <c r="F84" s="60">
        <v>671</v>
      </c>
      <c r="G84" s="11">
        <v>1</v>
      </c>
      <c r="H84" s="11">
        <v>1.0000000000000001E-9</v>
      </c>
      <c r="I84" s="110">
        <f t="shared" si="3"/>
        <v>1401.6519426631828</v>
      </c>
      <c r="J84" s="60">
        <f t="shared" si="4"/>
        <v>600.27943232339044</v>
      </c>
      <c r="K84" s="18">
        <v>10</v>
      </c>
    </row>
    <row r="85" spans="1:11">
      <c r="A85" s="17">
        <v>23</v>
      </c>
      <c r="B85" s="63">
        <v>2001.9313749865732</v>
      </c>
      <c r="C85" s="64">
        <v>4.1656037374571716E+32</v>
      </c>
      <c r="D85" s="64">
        <v>1.590974763096226E+35</v>
      </c>
      <c r="E85" s="64">
        <v>6.7482780546806175E+35</v>
      </c>
      <c r="F85" s="60">
        <v>597</v>
      </c>
      <c r="G85" s="11">
        <v>1</v>
      </c>
      <c r="H85" s="11">
        <v>1.0000000000000001E-9</v>
      </c>
      <c r="I85" s="110">
        <f t="shared" si="3"/>
        <v>1468.3496542185726</v>
      </c>
      <c r="J85" s="60">
        <f t="shared" si="4"/>
        <v>533.58172076800065</v>
      </c>
      <c r="K85" s="18">
        <v>10</v>
      </c>
    </row>
    <row r="86" spans="1:11">
      <c r="A86" s="17">
        <v>24</v>
      </c>
      <c r="B86" s="63">
        <v>2001.931376509963</v>
      </c>
      <c r="C86" s="64">
        <v>4.1656037208420242E+32</v>
      </c>
      <c r="D86" s="64">
        <v>1.5909747630962179E+35</v>
      </c>
      <c r="E86" s="64">
        <v>6.7482780277640789E+35</v>
      </c>
      <c r="F86" s="60">
        <v>528</v>
      </c>
      <c r="G86" s="11">
        <v>1</v>
      </c>
      <c r="H86" s="11">
        <v>1.0000000000000001E-9</v>
      </c>
      <c r="I86" s="110">
        <f t="shared" si="3"/>
        <v>1535.0473657739624</v>
      </c>
      <c r="J86" s="60">
        <f t="shared" si="4"/>
        <v>466.88400921261086</v>
      </c>
      <c r="K86" s="18">
        <v>10</v>
      </c>
    </row>
    <row r="87" spans="1:11">
      <c r="A87" s="17">
        <v>25</v>
      </c>
      <c r="B87" s="63">
        <v>2001.9313291783528</v>
      </c>
      <c r="C87" s="64">
        <v>4.1656042370728659E+32</v>
      </c>
      <c r="D87" s="64">
        <v>1.5909747630962181E+35</v>
      </c>
      <c r="E87" s="64">
        <v>6.7482788640580431E+35</v>
      </c>
      <c r="F87" s="60">
        <v>474</v>
      </c>
      <c r="G87" s="11">
        <v>1</v>
      </c>
      <c r="H87" s="11">
        <v>1.0000000000000001E-9</v>
      </c>
      <c r="I87" s="110">
        <f t="shared" si="3"/>
        <v>1601.7450773293522</v>
      </c>
      <c r="J87" s="60">
        <f t="shared" si="4"/>
        <v>400.18629765722108</v>
      </c>
      <c r="K87" s="18">
        <v>10</v>
      </c>
    </row>
    <row r="88" spans="1:11">
      <c r="A88" s="17">
        <v>26</v>
      </c>
      <c r="B88" s="63">
        <v>2001.9314016427422</v>
      </c>
      <c r="C88" s="64">
        <v>4.1656034467268308E+32</v>
      </c>
      <c r="D88" s="64">
        <v>1.5909747630962166E+35</v>
      </c>
      <c r="E88" s="64">
        <v>6.7482775836974653E+35</v>
      </c>
      <c r="F88" s="60">
        <v>392</v>
      </c>
      <c r="G88" s="11">
        <v>1</v>
      </c>
      <c r="H88" s="11">
        <v>1.0000000000000001E-9</v>
      </c>
      <c r="I88" s="110">
        <f t="shared" si="3"/>
        <v>1668.442788884742</v>
      </c>
      <c r="J88" s="60">
        <f t="shared" si="4"/>
        <v>333.48858610183129</v>
      </c>
      <c r="K88" s="18">
        <v>10</v>
      </c>
    </row>
    <row r="89" spans="1:11">
      <c r="A89" s="17">
        <v>27</v>
      </c>
      <c r="B89" s="63">
        <v>2001.9313322991327</v>
      </c>
      <c r="C89" s="64">
        <v>4.1656042030355073E+32</v>
      </c>
      <c r="D89" s="64">
        <v>1.5909747630962181E+35</v>
      </c>
      <c r="E89" s="64">
        <v>6.7482788089175213E+35</v>
      </c>
      <c r="F89" s="60">
        <v>339</v>
      </c>
      <c r="G89" s="11">
        <v>1</v>
      </c>
      <c r="H89" s="11">
        <v>1.0000000000000001E-9</v>
      </c>
      <c r="I89" s="110">
        <f t="shared" si="3"/>
        <v>1735.1405004401317</v>
      </c>
      <c r="J89" s="60">
        <f t="shared" si="4"/>
        <v>266.7908745464415</v>
      </c>
      <c r="K89" s="18">
        <v>10</v>
      </c>
    </row>
    <row r="90" spans="1:11">
      <c r="A90" s="17">
        <v>28</v>
      </c>
      <c r="B90" s="63">
        <v>2001.9313787645222</v>
      </c>
      <c r="C90" s="64">
        <v>4.1656036962522989E+32</v>
      </c>
      <c r="D90" s="64">
        <v>1.5909747630962303E+35</v>
      </c>
      <c r="E90" s="64">
        <v>6.7482779879287247E+35</v>
      </c>
      <c r="F90" s="60">
        <v>263</v>
      </c>
      <c r="G90" s="11">
        <v>1</v>
      </c>
      <c r="H90" s="11">
        <v>1.0000000000000001E-9</v>
      </c>
      <c r="I90" s="110">
        <f t="shared" si="3"/>
        <v>1801.8382119955215</v>
      </c>
      <c r="J90" s="60">
        <f t="shared" si="4"/>
        <v>200.09316299105171</v>
      </c>
      <c r="K90" s="18">
        <v>10</v>
      </c>
    </row>
    <row r="91" spans="1:11">
      <c r="A91" s="17">
        <v>29</v>
      </c>
      <c r="B91" s="63">
        <v>2001.9313554089115</v>
      </c>
      <c r="C91" s="64">
        <v>4.1656039509844954E+32</v>
      </c>
      <c r="D91" s="64">
        <v>1.5909747630962253E+35</v>
      </c>
      <c r="E91" s="64">
        <v>6.7482784005948833E+35</v>
      </c>
      <c r="F91" s="60">
        <v>202</v>
      </c>
      <c r="G91" s="11">
        <v>1</v>
      </c>
      <c r="H91" s="11">
        <v>1.0000000000000001E-9</v>
      </c>
      <c r="I91" s="110">
        <f t="shared" si="3"/>
        <v>1868.5359235509113</v>
      </c>
      <c r="J91" s="60">
        <f t="shared" si="4"/>
        <v>133.39545143566193</v>
      </c>
      <c r="K91" s="18">
        <v>10</v>
      </c>
    </row>
    <row r="92" spans="1:11">
      <c r="A92" s="17">
        <v>30</v>
      </c>
      <c r="B92" s="63">
        <v>2001.9313769743019</v>
      </c>
      <c r="C92" s="64">
        <v>4.1656037157776501E+32</v>
      </c>
      <c r="D92" s="64">
        <v>1.5909747630962264E+35</v>
      </c>
      <c r="E92" s="64">
        <v>6.7482780195597936E+35</v>
      </c>
      <c r="F92" s="60">
        <v>133</v>
      </c>
      <c r="G92" s="11">
        <v>1</v>
      </c>
      <c r="H92" s="11">
        <v>1.0000000000000001E-9</v>
      </c>
      <c r="I92" s="110">
        <f t="shared" si="3"/>
        <v>1935.2336351063011</v>
      </c>
      <c r="J92" s="60">
        <f t="shared" si="4"/>
        <v>66.697739880272138</v>
      </c>
      <c r="K92" s="18">
        <v>10</v>
      </c>
    </row>
    <row r="93" spans="1:11">
      <c r="A93" s="17">
        <v>31</v>
      </c>
      <c r="B93" s="63">
        <v>2001.9313695206924</v>
      </c>
      <c r="C93" s="64">
        <v>4.1656037970717724E+32</v>
      </c>
      <c r="D93" s="64">
        <v>1.5909747630962186E+35</v>
      </c>
      <c r="E93" s="64">
        <v>6.748278151256272E+35</v>
      </c>
      <c r="F93" s="60">
        <v>76</v>
      </c>
      <c r="G93" s="11">
        <v>1</v>
      </c>
      <c r="H93" s="11">
        <v>1.0000000000000001E-9</v>
      </c>
      <c r="I93" s="133">
        <f>sheet1!I5</f>
        <v>2001.9313466616909</v>
      </c>
      <c r="J93" s="60">
        <f t="shared" si="4"/>
        <v>2.8324882350716507E-5</v>
      </c>
      <c r="K93" s="18">
        <v>10</v>
      </c>
    </row>
    <row r="94" spans="1:11">
      <c r="A94" s="17">
        <v>32</v>
      </c>
      <c r="B94" s="63">
        <v>2001.9313500821424</v>
      </c>
      <c r="C94" s="64">
        <v>4.1656040090818861E+32</v>
      </c>
      <c r="D94" s="64">
        <v>1.5909747630962299E+35</v>
      </c>
      <c r="E94" s="64">
        <v>6.7482784947126552E+35</v>
      </c>
      <c r="F94" s="60">
        <v>751</v>
      </c>
      <c r="G94" s="11">
        <v>1</v>
      </c>
      <c r="H94" s="11">
        <v>1.0000000000000001E-9</v>
      </c>
      <c r="I94" s="110">
        <f t="shared" ref="I94:I120" si="5">I93+$I$61</f>
        <v>2068.6290582170805</v>
      </c>
      <c r="J94" s="60">
        <f t="shared" si="4"/>
        <v>66.697683230507209</v>
      </c>
      <c r="K94" s="18">
        <v>10</v>
      </c>
    </row>
    <row r="95" spans="1:11">
      <c r="A95" s="17">
        <v>33</v>
      </c>
      <c r="B95" s="63">
        <v>2001.9314136895935</v>
      </c>
      <c r="C95" s="64">
        <v>4.1656033153356606E+32</v>
      </c>
      <c r="D95" s="64">
        <v>1.5909747630962061E+35</v>
      </c>
      <c r="E95" s="64">
        <v>6.7482773708437705E+35</v>
      </c>
      <c r="F95" s="60">
        <v>1397</v>
      </c>
      <c r="G95" s="11">
        <v>1</v>
      </c>
      <c r="H95" s="11">
        <v>1.0000000000000001E-9</v>
      </c>
      <c r="I95" s="110">
        <f t="shared" si="5"/>
        <v>2135.32676977247</v>
      </c>
      <c r="J95" s="60">
        <f t="shared" si="4"/>
        <v>133.39539478589677</v>
      </c>
      <c r="K95" s="18">
        <v>10</v>
      </c>
    </row>
    <row r="96" spans="1:11">
      <c r="A96" s="17">
        <v>34</v>
      </c>
      <c r="B96" s="63">
        <v>2001.9313618460433</v>
      </c>
      <c r="C96" s="64">
        <v>4.1656038807767452E+32</v>
      </c>
      <c r="D96" s="64">
        <v>1.5909747630962251E+35</v>
      </c>
      <c r="E96" s="64">
        <v>6.7482782868583275E+35</v>
      </c>
      <c r="F96" s="60">
        <v>2082</v>
      </c>
      <c r="G96" s="11">
        <v>1</v>
      </c>
      <c r="H96" s="11">
        <v>1.0000000000000001E-9</v>
      </c>
      <c r="I96" s="110">
        <f t="shared" si="5"/>
        <v>2202.0244813278596</v>
      </c>
      <c r="J96" s="60">
        <f t="shared" si="4"/>
        <v>200.09310634128633</v>
      </c>
      <c r="K96" s="18">
        <v>10</v>
      </c>
    </row>
    <row r="97" spans="1:11">
      <c r="A97" s="17">
        <v>35</v>
      </c>
      <c r="B97" s="63">
        <v>2001.9313547214933</v>
      </c>
      <c r="C97" s="64">
        <v>4.1656039584819771E+32</v>
      </c>
      <c r="D97" s="64">
        <v>1.5909747630962367E+35</v>
      </c>
      <c r="E97" s="64">
        <v>6.7482784127408025E+35</v>
      </c>
      <c r="F97" s="60">
        <v>2741</v>
      </c>
      <c r="G97" s="11">
        <v>1</v>
      </c>
      <c r="H97" s="11">
        <v>1.0000000000000001E-9</v>
      </c>
      <c r="I97" s="110">
        <f t="shared" si="5"/>
        <v>2268.7221928832491</v>
      </c>
      <c r="J97" s="60">
        <f t="shared" si="4"/>
        <v>266.79081789667589</v>
      </c>
      <c r="K97" s="18">
        <v>10</v>
      </c>
    </row>
    <row r="98" spans="1:11">
      <c r="A98" s="17">
        <v>36</v>
      </c>
      <c r="B98" s="63">
        <v>2001.9313752869432</v>
      </c>
      <c r="C98" s="64">
        <v>4.1656037341811322E+32</v>
      </c>
      <c r="D98" s="64">
        <v>1.590974763096226E+35</v>
      </c>
      <c r="E98" s="64">
        <v>6.7482780493734346E+35</v>
      </c>
      <c r="F98" s="60">
        <v>3408</v>
      </c>
      <c r="G98" s="11">
        <v>1</v>
      </c>
      <c r="H98" s="11">
        <v>1.0000000000000001E-9</v>
      </c>
      <c r="I98" s="110">
        <f t="shared" si="5"/>
        <v>2335.4199044386387</v>
      </c>
      <c r="J98" s="60">
        <f t="shared" si="4"/>
        <v>333.48852945206545</v>
      </c>
      <c r="K98" s="18">
        <v>10</v>
      </c>
    </row>
    <row r="99" spans="1:11">
      <c r="A99" s="17">
        <v>37</v>
      </c>
      <c r="B99" s="63">
        <v>2001.9313589633937</v>
      </c>
      <c r="C99" s="64">
        <v>4.1656039122169009E+32</v>
      </c>
      <c r="D99" s="64">
        <v>1.5909747630962303E+35</v>
      </c>
      <c r="E99" s="64">
        <v>6.7482783377913788E+35</v>
      </c>
      <c r="F99" s="60">
        <v>4070</v>
      </c>
      <c r="G99" s="11">
        <v>1</v>
      </c>
      <c r="H99" s="11">
        <v>1.0000000000000001E-9</v>
      </c>
      <c r="I99" s="110">
        <f t="shared" si="5"/>
        <v>2402.1176159940283</v>
      </c>
      <c r="J99" s="60">
        <f t="shared" si="4"/>
        <v>400.18624100745501</v>
      </c>
      <c r="K99" s="18">
        <v>10</v>
      </c>
    </row>
    <row r="100" spans="1:11">
      <c r="A100" s="17">
        <v>38</v>
      </c>
      <c r="B100" s="63">
        <v>2001.9313395078441</v>
      </c>
      <c r="C100" s="64">
        <v>4.1656041244123957E+32</v>
      </c>
      <c r="D100" s="64">
        <v>1.5909747630962262E+35</v>
      </c>
      <c r="E100" s="64">
        <v>6.7482786815480808E+35</v>
      </c>
      <c r="F100" s="60">
        <v>4751</v>
      </c>
      <c r="G100" s="11">
        <v>1</v>
      </c>
      <c r="H100" s="11">
        <v>1.0000000000000001E-9</v>
      </c>
      <c r="I100" s="110">
        <f t="shared" si="5"/>
        <v>2468.8153275494178</v>
      </c>
      <c r="J100" s="60">
        <f t="shared" si="4"/>
        <v>466.88395256284457</v>
      </c>
      <c r="K100" s="18">
        <v>10</v>
      </c>
    </row>
    <row r="101" spans="1:11">
      <c r="A101" s="17">
        <v>39</v>
      </c>
      <c r="B101" s="63">
        <v>2001.9313709842938</v>
      </c>
      <c r="C101" s="64">
        <v>4.1656037811087362E+32</v>
      </c>
      <c r="D101" s="64">
        <v>1.5909747630962179E+35</v>
      </c>
      <c r="E101" s="64">
        <v>6.7482781253961519E+35</v>
      </c>
      <c r="F101" s="60">
        <v>5419</v>
      </c>
      <c r="G101" s="11">
        <v>1</v>
      </c>
      <c r="H101" s="11">
        <v>1.0000000000000001E-9</v>
      </c>
      <c r="I101" s="110">
        <f t="shared" si="5"/>
        <v>2535.5130391048074</v>
      </c>
      <c r="J101" s="60">
        <f t="shared" si="4"/>
        <v>533.58166411823413</v>
      </c>
      <c r="K101" s="18">
        <v>10</v>
      </c>
    </row>
    <row r="102" spans="1:11">
      <c r="A102" s="17">
        <v>40</v>
      </c>
      <c r="B102" s="63">
        <v>2001.9313921687447</v>
      </c>
      <c r="C102" s="64">
        <v>4.1656035500566864E+32</v>
      </c>
      <c r="D102" s="64">
        <v>1.5909747630962151E+35</v>
      </c>
      <c r="E102" s="64">
        <v>6.748277751091832E+35</v>
      </c>
      <c r="F102" s="60">
        <v>6073</v>
      </c>
      <c r="G102" s="11">
        <v>1</v>
      </c>
      <c r="H102" s="11">
        <v>1.0000000000000001E-9</v>
      </c>
      <c r="I102" s="110">
        <f t="shared" si="5"/>
        <v>2602.2107506601969</v>
      </c>
      <c r="J102" s="60">
        <f t="shared" si="4"/>
        <v>600.27937567362369</v>
      </c>
      <c r="K102" s="18">
        <v>10</v>
      </c>
    </row>
    <row r="103" spans="1:11">
      <c r="A103" s="17">
        <v>41</v>
      </c>
      <c r="B103" s="63">
        <v>2001.931394023195</v>
      </c>
      <c r="C103" s="64">
        <v>4.1656035298308014E+32</v>
      </c>
      <c r="D103" s="64">
        <v>1.5909747630962198E+35</v>
      </c>
      <c r="E103" s="64">
        <v>6.7482777183258988E+35</v>
      </c>
      <c r="F103" s="60">
        <v>6739</v>
      </c>
      <c r="G103" s="11">
        <v>1</v>
      </c>
      <c r="H103" s="11">
        <v>1.0000000000000001E-9</v>
      </c>
      <c r="I103" s="110">
        <f t="shared" si="5"/>
        <v>2668.9084622155865</v>
      </c>
      <c r="J103" s="60">
        <f t="shared" si="4"/>
        <v>666.97708722901325</v>
      </c>
      <c r="K103" s="18">
        <v>10</v>
      </c>
    </row>
    <row r="104" spans="1:11">
      <c r="A104" s="17">
        <v>42</v>
      </c>
      <c r="B104" s="63">
        <v>2001.9313856396448</v>
      </c>
      <c r="C104" s="64">
        <v>4.1656036212675201E+32</v>
      </c>
      <c r="D104" s="64">
        <v>1.5909747630962258E+35</v>
      </c>
      <c r="E104" s="64">
        <v>6.7482778664533821E+35</v>
      </c>
      <c r="F104" s="60">
        <v>7425</v>
      </c>
      <c r="G104" s="11">
        <v>1</v>
      </c>
      <c r="H104" s="11">
        <v>1.0000000000000001E-9</v>
      </c>
      <c r="I104" s="110">
        <f t="shared" si="5"/>
        <v>2735.6061737709761</v>
      </c>
      <c r="J104" s="60">
        <f t="shared" si="4"/>
        <v>733.67479878440281</v>
      </c>
      <c r="K104" s="18">
        <v>10</v>
      </c>
    </row>
    <row r="105" spans="1:11">
      <c r="A105" s="17">
        <v>43</v>
      </c>
      <c r="B105" s="63">
        <v>2001.931357192095</v>
      </c>
      <c r="C105" s="64">
        <v>4.1656039315358928E+32</v>
      </c>
      <c r="D105" s="64">
        <v>1.5909747630962303E+35</v>
      </c>
      <c r="E105" s="64">
        <v>6.7482783690881469E+35</v>
      </c>
      <c r="F105" s="60">
        <v>8100</v>
      </c>
      <c r="G105" s="11">
        <v>1</v>
      </c>
      <c r="H105" s="11">
        <v>1.0000000000000001E-9</v>
      </c>
      <c r="I105" s="110">
        <f t="shared" si="5"/>
        <v>2802.3038853263656</v>
      </c>
      <c r="J105" s="60">
        <f t="shared" si="4"/>
        <v>800.37251033979237</v>
      </c>
      <c r="K105" s="18">
        <v>10</v>
      </c>
    </row>
    <row r="106" spans="1:11">
      <c r="A106" s="17">
        <v>44</v>
      </c>
      <c r="B106" s="63">
        <v>2001.9313694405453</v>
      </c>
      <c r="C106" s="64">
        <v>4.1656037979459312E+32</v>
      </c>
      <c r="D106" s="64">
        <v>1.590974763096226E+35</v>
      </c>
      <c r="E106" s="64">
        <v>6.7482781526724079E+35</v>
      </c>
      <c r="F106" s="60">
        <v>8757</v>
      </c>
      <c r="G106" s="11">
        <v>1</v>
      </c>
      <c r="H106" s="11">
        <v>1.0000000000000001E-9</v>
      </c>
      <c r="I106" s="110">
        <f t="shared" si="5"/>
        <v>2869.0015968817552</v>
      </c>
      <c r="J106" s="60">
        <f t="shared" si="4"/>
        <v>867.07022189518193</v>
      </c>
      <c r="K106" s="18">
        <v>10</v>
      </c>
    </row>
    <row r="107" spans="1:11">
      <c r="A107" s="17">
        <v>45</v>
      </c>
      <c r="B107" s="63">
        <v>2001.9313703969954</v>
      </c>
      <c r="C107" s="64">
        <v>4.1656037875142434E+32</v>
      </c>
      <c r="D107" s="64">
        <v>1.5909747630962293E+35</v>
      </c>
      <c r="E107" s="64">
        <v>6.7482781357730741E+35</v>
      </c>
      <c r="F107" s="60">
        <v>9409</v>
      </c>
      <c r="G107" s="11">
        <v>1</v>
      </c>
      <c r="H107" s="11">
        <v>1.0000000000000001E-9</v>
      </c>
      <c r="I107" s="110">
        <f t="shared" si="5"/>
        <v>2935.6993084371447</v>
      </c>
      <c r="J107" s="60">
        <f t="shared" si="4"/>
        <v>933.76793345057149</v>
      </c>
      <c r="K107" s="18">
        <v>10</v>
      </c>
    </row>
    <row r="108" spans="1:11">
      <c r="A108" s="17">
        <v>46</v>
      </c>
      <c r="B108" s="63">
        <v>2001.9313318324457</v>
      </c>
      <c r="C108" s="64">
        <v>4.1656042081255145E+32</v>
      </c>
      <c r="D108" s="64">
        <v>1.5909747630962181E+35</v>
      </c>
      <c r="E108" s="64">
        <v>6.7482788171633339E+35</v>
      </c>
      <c r="F108" s="60">
        <v>10081</v>
      </c>
      <c r="G108" s="11">
        <v>1</v>
      </c>
      <c r="H108" s="11">
        <v>1.0000000000000001E-9</v>
      </c>
      <c r="I108" s="110">
        <f t="shared" si="5"/>
        <v>3002.3970199925343</v>
      </c>
      <c r="J108" s="60">
        <f t="shared" si="4"/>
        <v>1000.4656450059611</v>
      </c>
      <c r="K108" s="18">
        <v>10</v>
      </c>
    </row>
    <row r="109" spans="1:11">
      <c r="A109" s="17">
        <v>47</v>
      </c>
      <c r="B109" s="63">
        <v>2001.9313334078961</v>
      </c>
      <c r="C109" s="64">
        <v>4.1656041909425792E+32</v>
      </c>
      <c r="D109" s="64">
        <v>1.5909747630962194E+35</v>
      </c>
      <c r="E109" s="64">
        <v>6.7482787893269787E+35</v>
      </c>
      <c r="F109" s="60">
        <v>10752</v>
      </c>
      <c r="G109" s="11">
        <v>1</v>
      </c>
      <c r="H109" s="11">
        <v>1.0000000000000001E-9</v>
      </c>
      <c r="I109" s="110">
        <f t="shared" si="5"/>
        <v>3069.0947315479239</v>
      </c>
      <c r="J109" s="60">
        <f t="shared" si="4"/>
        <v>1067.1633565613506</v>
      </c>
      <c r="K109" s="18">
        <v>10</v>
      </c>
    </row>
    <row r="110" spans="1:11">
      <c r="A110" s="17">
        <v>48</v>
      </c>
      <c r="B110" s="63">
        <v>2001.9313956123465</v>
      </c>
      <c r="C110" s="64">
        <v>4.1656035124984265E+32</v>
      </c>
      <c r="D110" s="64">
        <v>1.5909747630962166E+35</v>
      </c>
      <c r="E110" s="64">
        <v>6.7482776902474514E+35</v>
      </c>
      <c r="F110" s="60">
        <v>11415</v>
      </c>
      <c r="G110" s="11">
        <v>1</v>
      </c>
      <c r="H110" s="11">
        <v>1.0000000000000001E-9</v>
      </c>
      <c r="I110" s="110">
        <f t="shared" si="5"/>
        <v>3135.7924431033134</v>
      </c>
      <c r="J110" s="60">
        <f t="shared" si="4"/>
        <v>1133.8610681167402</v>
      </c>
      <c r="K110" s="18">
        <v>10</v>
      </c>
    </row>
    <row r="111" spans="1:11">
      <c r="A111" s="17">
        <v>49</v>
      </c>
      <c r="B111" s="63">
        <v>2001.9313865287961</v>
      </c>
      <c r="C111" s="64">
        <v>4.1656036115698138E+32</v>
      </c>
      <c r="D111" s="64">
        <v>1.5909747630962196E+35</v>
      </c>
      <c r="E111" s="64">
        <v>6.7482778507430988E+35</v>
      </c>
      <c r="F111" s="60">
        <v>12086</v>
      </c>
      <c r="G111" s="11">
        <v>1</v>
      </c>
      <c r="H111" s="11">
        <v>1.0000000000000001E-9</v>
      </c>
      <c r="I111" s="110">
        <f t="shared" si="5"/>
        <v>3202.490154658703</v>
      </c>
      <c r="J111" s="60">
        <f t="shared" si="4"/>
        <v>1200.5587796721297</v>
      </c>
      <c r="K111" s="18">
        <v>10</v>
      </c>
    </row>
    <row r="112" spans="1:11">
      <c r="A112" s="17">
        <v>50</v>
      </c>
      <c r="B112" s="63">
        <v>2001.931382963247</v>
      </c>
      <c r="C112" s="64">
        <v>4.1656036504581372E+32</v>
      </c>
      <c r="D112" s="64">
        <v>1.5909747630962264E+35</v>
      </c>
      <c r="E112" s="64">
        <v>6.7482779137421816E+35</v>
      </c>
      <c r="F112" s="60">
        <v>12761</v>
      </c>
      <c r="G112" s="11">
        <v>1</v>
      </c>
      <c r="H112" s="11">
        <v>1.0000000000000001E-9</v>
      </c>
      <c r="I112" s="110">
        <f t="shared" si="5"/>
        <v>3269.1878662140925</v>
      </c>
      <c r="J112" s="60">
        <f t="shared" si="4"/>
        <v>1267.2564912275193</v>
      </c>
      <c r="K112" s="18">
        <v>10</v>
      </c>
    </row>
    <row r="113" spans="1:11">
      <c r="A113" s="17">
        <v>51</v>
      </c>
      <c r="B113" s="63">
        <v>2001.9313804726976</v>
      </c>
      <c r="C113" s="64">
        <v>4.1656036776217677E+32</v>
      </c>
      <c r="D113" s="64">
        <v>1.5909747630962277E+35</v>
      </c>
      <c r="E113" s="64">
        <v>6.748277957747263E+35</v>
      </c>
      <c r="F113" s="60">
        <v>13428</v>
      </c>
      <c r="G113" s="11">
        <v>1</v>
      </c>
      <c r="H113" s="11">
        <v>1.0000000000000001E-9</v>
      </c>
      <c r="I113" s="110">
        <f t="shared" si="5"/>
        <v>3335.8855777694821</v>
      </c>
      <c r="J113" s="60">
        <f t="shared" si="4"/>
        <v>1333.9542027829089</v>
      </c>
      <c r="K113" s="18">
        <v>10</v>
      </c>
    </row>
    <row r="114" spans="1:11">
      <c r="A114" s="17">
        <v>52</v>
      </c>
      <c r="B114" s="63">
        <v>2001.931372094147</v>
      </c>
      <c r="C114" s="64">
        <v>4.1656037690039402E+32</v>
      </c>
      <c r="D114" s="64">
        <v>1.5909747630962253E+35</v>
      </c>
      <c r="E114" s="64">
        <v>6.7482781057863834E+35</v>
      </c>
      <c r="F114" s="60">
        <v>14100</v>
      </c>
      <c r="G114" s="11">
        <v>1</v>
      </c>
      <c r="H114" s="11">
        <v>1.0000000000000001E-9</v>
      </c>
      <c r="I114" s="110">
        <f t="shared" si="5"/>
        <v>3402.5832893248717</v>
      </c>
      <c r="J114" s="60">
        <f t="shared" si="4"/>
        <v>1400.6519143382984</v>
      </c>
      <c r="K114" s="18">
        <v>10</v>
      </c>
    </row>
    <row r="115" spans="1:11">
      <c r="A115" s="17">
        <v>53</v>
      </c>
      <c r="B115" s="63">
        <v>2001.9313717495968</v>
      </c>
      <c r="C115" s="64">
        <v>4.165603772761841E+32</v>
      </c>
      <c r="D115" s="64">
        <v>1.5909747630962257E+35</v>
      </c>
      <c r="E115" s="64">
        <v>6.7482781118741823E+35</v>
      </c>
      <c r="F115" s="60">
        <v>14742</v>
      </c>
      <c r="G115" s="11">
        <v>1</v>
      </c>
      <c r="H115" s="11">
        <v>1.0000000000000001E-9</v>
      </c>
      <c r="I115" s="110">
        <f t="shared" si="5"/>
        <v>3469.2810008802612</v>
      </c>
      <c r="J115" s="60">
        <f t="shared" si="4"/>
        <v>1467.349625893688</v>
      </c>
      <c r="K115" s="18">
        <v>10</v>
      </c>
    </row>
    <row r="116" spans="1:11">
      <c r="A116" s="17">
        <v>54</v>
      </c>
      <c r="B116" s="63">
        <v>2001.9313642960474</v>
      </c>
      <c r="C116" s="64">
        <v>4.1656038540553134E+32</v>
      </c>
      <c r="D116" s="64">
        <v>1.5909747630962188E+35</v>
      </c>
      <c r="E116" s="64">
        <v>6.748278243569607E+35</v>
      </c>
      <c r="F116" s="60">
        <v>15400</v>
      </c>
      <c r="G116" s="11">
        <v>1</v>
      </c>
      <c r="H116" s="11">
        <v>1.0000000000000001E-9</v>
      </c>
      <c r="I116" s="110">
        <f t="shared" si="5"/>
        <v>3535.9787124356508</v>
      </c>
      <c r="J116" s="60">
        <f t="shared" si="4"/>
        <v>1534.0473374490775</v>
      </c>
      <c r="K116" s="18">
        <v>10</v>
      </c>
    </row>
    <row r="117" spans="1:11">
      <c r="A117" s="17">
        <v>55</v>
      </c>
      <c r="B117" s="63">
        <v>2001.931406700498</v>
      </c>
      <c r="C117" s="64">
        <v>4.1656033915635079E+32</v>
      </c>
      <c r="D117" s="64">
        <v>1.5909747630962159E+35</v>
      </c>
      <c r="E117" s="64">
        <v>6.7482774943328822E+35</v>
      </c>
      <c r="F117" s="60">
        <v>16064</v>
      </c>
      <c r="G117" s="11">
        <v>1</v>
      </c>
      <c r="H117" s="11">
        <v>1.0000000000000001E-9</v>
      </c>
      <c r="I117" s="110">
        <f t="shared" si="5"/>
        <v>3602.6764239910403</v>
      </c>
      <c r="J117" s="60">
        <f t="shared" si="4"/>
        <v>1600.7450490044671</v>
      </c>
      <c r="K117" s="18">
        <v>10</v>
      </c>
    </row>
    <row r="118" spans="1:11">
      <c r="A118" s="17">
        <v>56</v>
      </c>
      <c r="B118" s="63">
        <v>2001.9313273869482</v>
      </c>
      <c r="C118" s="64">
        <v>4.1656042566111535E+32</v>
      </c>
      <c r="D118" s="64">
        <v>1.5909747630962194E+35</v>
      </c>
      <c r="E118" s="64">
        <v>6.748278895710069E+35</v>
      </c>
      <c r="F118" s="60">
        <v>16752</v>
      </c>
      <c r="G118" s="11">
        <v>1</v>
      </c>
      <c r="H118" s="11">
        <v>1.0000000000000001E-9</v>
      </c>
      <c r="I118" s="110">
        <f t="shared" si="5"/>
        <v>3669.3741355464299</v>
      </c>
      <c r="J118" s="60">
        <f t="shared" si="4"/>
        <v>1667.4427605598567</v>
      </c>
      <c r="K118" s="18">
        <v>10</v>
      </c>
    </row>
    <row r="119" spans="1:11">
      <c r="A119" s="17">
        <v>57</v>
      </c>
      <c r="B119" s="63">
        <v>2001.9313389503982</v>
      </c>
      <c r="C119" s="64">
        <v>4.1656041304922912E+32</v>
      </c>
      <c r="D119" s="64">
        <v>1.5909747630962299E+35</v>
      </c>
      <c r="E119" s="64">
        <v>6.7482786913975118E+35</v>
      </c>
      <c r="F119" s="60">
        <v>17422</v>
      </c>
      <c r="G119" s="11">
        <v>1</v>
      </c>
      <c r="H119" s="11">
        <v>1.0000000000000001E-9</v>
      </c>
      <c r="I119" s="110">
        <f t="shared" si="5"/>
        <v>3736.0718471018195</v>
      </c>
      <c r="J119" s="60">
        <f t="shared" si="4"/>
        <v>1734.1404721152462</v>
      </c>
      <c r="K119" s="18">
        <v>10</v>
      </c>
    </row>
    <row r="120" spans="1:11" ht="13.15" thickBot="1">
      <c r="A120" s="19">
        <v>58</v>
      </c>
      <c r="B120" s="65">
        <v>2001.9313804678488</v>
      </c>
      <c r="C120" s="66">
        <v>4.1656036776746298E+32</v>
      </c>
      <c r="D120" s="66">
        <v>1.5909747630962194E+35</v>
      </c>
      <c r="E120" s="66">
        <v>6.7482779578329001E+35</v>
      </c>
      <c r="F120" s="61">
        <v>18070</v>
      </c>
      <c r="G120" s="20">
        <v>1</v>
      </c>
      <c r="H120" s="20">
        <v>1.0000000000000001E-9</v>
      </c>
      <c r="I120" s="111">
        <f t="shared" si="5"/>
        <v>3802.769558657209</v>
      </c>
      <c r="J120" s="61">
        <f t="shared" si="4"/>
        <v>1800.8381836706358</v>
      </c>
      <c r="K120" s="21">
        <v>10</v>
      </c>
    </row>
    <row r="122" spans="1:11" ht="13.5" thickBot="1">
      <c r="A122" s="56" t="s">
        <v>58</v>
      </c>
    </row>
    <row r="123" spans="1:11" ht="32.65" thickBot="1">
      <c r="A123" s="57" t="s">
        <v>4</v>
      </c>
      <c r="B123" s="58" t="s">
        <v>5</v>
      </c>
      <c r="C123" s="58" t="s">
        <v>8</v>
      </c>
      <c r="D123" s="58" t="s">
        <v>6</v>
      </c>
      <c r="E123" s="58" t="s">
        <v>9</v>
      </c>
      <c r="F123" s="58" t="s">
        <v>49</v>
      </c>
      <c r="G123" s="58" t="s">
        <v>48</v>
      </c>
      <c r="H123" s="58" t="s">
        <v>13</v>
      </c>
      <c r="I123" s="58" t="s">
        <v>7</v>
      </c>
      <c r="J123" s="58" t="s">
        <v>26</v>
      </c>
      <c r="K123" s="59" t="s">
        <v>32</v>
      </c>
    </row>
    <row r="124" spans="1:11">
      <c r="A124" s="14">
        <v>1</v>
      </c>
      <c r="B124" s="67">
        <v>2001.9313725379961</v>
      </c>
      <c r="C124" s="68">
        <v>4.1656037641630037E+32</v>
      </c>
      <c r="D124" s="68">
        <v>1.5909747630962192E+35</v>
      </c>
      <c r="E124" s="68">
        <v>6.748278097944066E+35</v>
      </c>
      <c r="F124" s="25">
        <v>2372</v>
      </c>
      <c r="G124" s="15">
        <v>1</v>
      </c>
      <c r="H124" s="15">
        <v>1.0000000000000001E-9</v>
      </c>
      <c r="I124" s="15">
        <v>1</v>
      </c>
      <c r="J124" s="25">
        <f t="shared" ref="J124:J182" si="6">ABS(I124-B124)</f>
        <v>2000.9313725379961</v>
      </c>
      <c r="K124" s="16">
        <v>1.2</v>
      </c>
    </row>
    <row r="125" spans="1:11">
      <c r="A125" s="17">
        <v>2</v>
      </c>
      <c r="B125" s="63">
        <v>2001.9313150055843</v>
      </c>
      <c r="C125" s="64">
        <v>4.1656043916507705E+32</v>
      </c>
      <c r="D125" s="64">
        <v>1.5909747630962159E+35</v>
      </c>
      <c r="E125" s="64">
        <v>6.7482791144742482E+35</v>
      </c>
      <c r="F125" s="60">
        <v>2173</v>
      </c>
      <c r="G125" s="11">
        <v>1</v>
      </c>
      <c r="H125" s="11">
        <v>1.0000000000000001E-9</v>
      </c>
      <c r="I125" s="11">
        <v>1</v>
      </c>
      <c r="J125" s="60">
        <f t="shared" si="6"/>
        <v>2000.9313150055843</v>
      </c>
      <c r="K125" s="18">
        <v>1.5</v>
      </c>
    </row>
    <row r="126" spans="1:11">
      <c r="A126" s="17">
        <v>3</v>
      </c>
      <c r="B126" s="63">
        <v>2001.9313321905188</v>
      </c>
      <c r="C126" s="64">
        <v>4.1656042042201536E+32</v>
      </c>
      <c r="D126" s="64">
        <v>1.5909747630962292E+35</v>
      </c>
      <c r="E126" s="64">
        <v>6.7482788108366482E+35</v>
      </c>
      <c r="F126" s="60">
        <v>2109</v>
      </c>
      <c r="G126" s="11">
        <v>1</v>
      </c>
      <c r="H126" s="11">
        <v>1.0000000000000001E-9</v>
      </c>
      <c r="I126" s="11">
        <v>1</v>
      </c>
      <c r="J126" s="60">
        <f t="shared" si="6"/>
        <v>2000.9313321905188</v>
      </c>
      <c r="K126" s="18">
        <v>2</v>
      </c>
    </row>
    <row r="127" spans="1:11">
      <c r="A127" s="17">
        <v>4</v>
      </c>
      <c r="B127" s="63">
        <v>2001.9313395484394</v>
      </c>
      <c r="C127" s="64">
        <v>4.1656041239696327E+32</v>
      </c>
      <c r="D127" s="64">
        <v>1.5909747630962251E+35</v>
      </c>
      <c r="E127" s="64">
        <v>6.748278680830805E+35</v>
      </c>
      <c r="F127" s="60">
        <v>2078</v>
      </c>
      <c r="G127" s="11">
        <v>1</v>
      </c>
      <c r="H127" s="11">
        <v>1.0000000000000001E-9</v>
      </c>
      <c r="I127" s="11">
        <v>1</v>
      </c>
      <c r="J127" s="60">
        <f t="shared" si="6"/>
        <v>2000.9313395484394</v>
      </c>
      <c r="K127" s="18">
        <v>2.5</v>
      </c>
    </row>
    <row r="128" spans="1:11">
      <c r="A128" s="17">
        <v>5</v>
      </c>
      <c r="B128" s="63">
        <v>2001.9313411523408</v>
      </c>
      <c r="C128" s="64">
        <v>4.1656041064763879E+32</v>
      </c>
      <c r="D128" s="64">
        <v>1.5909747630962251E+35</v>
      </c>
      <c r="E128" s="64">
        <v>6.748278652491748E+35</v>
      </c>
      <c r="F128" s="60">
        <v>2075</v>
      </c>
      <c r="G128" s="11">
        <v>1</v>
      </c>
      <c r="H128" s="11">
        <v>1.0000000000000001E-9</v>
      </c>
      <c r="I128" s="11">
        <v>1</v>
      </c>
      <c r="J128" s="60">
        <f t="shared" si="6"/>
        <v>2000.9313411523408</v>
      </c>
      <c r="K128" s="18">
        <v>3</v>
      </c>
    </row>
    <row r="129" spans="1:11">
      <c r="A129" s="17">
        <v>6</v>
      </c>
      <c r="B129" s="63">
        <v>2001.9314015010696</v>
      </c>
      <c r="C129" s="64">
        <v>4.1656034482720151E+32</v>
      </c>
      <c r="D129" s="64">
        <v>1.5909747630962188E+35</v>
      </c>
      <c r="E129" s="64">
        <v>6.7482775862006649E+35</v>
      </c>
      <c r="F129" s="60">
        <v>2074</v>
      </c>
      <c r="G129" s="11">
        <v>1</v>
      </c>
      <c r="H129" s="11">
        <v>1.0000000000000001E-9</v>
      </c>
      <c r="I129" s="11">
        <v>1</v>
      </c>
      <c r="J129" s="60">
        <f t="shared" si="6"/>
        <v>2000.9314015010696</v>
      </c>
      <c r="K129" s="18">
        <v>3.5</v>
      </c>
    </row>
    <row r="130" spans="1:11">
      <c r="A130" s="17">
        <v>7</v>
      </c>
      <c r="B130" s="63">
        <v>2001.9313319027401</v>
      </c>
      <c r="C130" s="64">
        <v>4.165604207358857E+32</v>
      </c>
      <c r="D130" s="64">
        <v>1.5909747630962262E+35</v>
      </c>
      <c r="E130" s="64">
        <v>6.7482788159213486E+35</v>
      </c>
      <c r="F130" s="60">
        <v>2069</v>
      </c>
      <c r="G130" s="11">
        <v>1</v>
      </c>
      <c r="H130" s="11">
        <v>1.0000000000000001E-9</v>
      </c>
      <c r="I130" s="11">
        <v>1</v>
      </c>
      <c r="J130" s="60">
        <f t="shared" si="6"/>
        <v>2000.9313319027401</v>
      </c>
      <c r="K130" s="18">
        <v>4</v>
      </c>
    </row>
    <row r="131" spans="1:11">
      <c r="A131" s="17">
        <v>8</v>
      </c>
      <c r="B131" s="63">
        <v>2001.931354900491</v>
      </c>
      <c r="C131" s="64">
        <v>4.1656039565296962E+32</v>
      </c>
      <c r="D131" s="64">
        <v>1.5909747630962328E+35</v>
      </c>
      <c r="E131" s="64">
        <v>6.7482784095781082E+35</v>
      </c>
      <c r="F131" s="60">
        <v>2080</v>
      </c>
      <c r="G131" s="11">
        <v>1</v>
      </c>
      <c r="H131" s="11">
        <v>1.0000000000000001E-9</v>
      </c>
      <c r="I131" s="11">
        <v>1</v>
      </c>
      <c r="J131" s="60">
        <f t="shared" si="6"/>
        <v>2000.931354900491</v>
      </c>
      <c r="K131" s="18">
        <v>4.5</v>
      </c>
    </row>
    <row r="132" spans="1:11">
      <c r="A132" s="17">
        <v>9</v>
      </c>
      <c r="B132" s="63">
        <v>2001.9313201684454</v>
      </c>
      <c r="C132" s="64">
        <v>4.1656043353410891E+32</v>
      </c>
      <c r="D132" s="64">
        <v>1.5909747630962216E+35</v>
      </c>
      <c r="E132" s="64">
        <v>6.7482790232525649E+35</v>
      </c>
      <c r="F132" s="60">
        <v>2064</v>
      </c>
      <c r="G132" s="11">
        <v>1</v>
      </c>
      <c r="H132" s="11">
        <v>1.0000000000000001E-9</v>
      </c>
      <c r="I132" s="11">
        <v>1</v>
      </c>
      <c r="J132" s="60">
        <f t="shared" si="6"/>
        <v>2000.9313201684454</v>
      </c>
      <c r="K132" s="18">
        <v>5</v>
      </c>
    </row>
    <row r="133" spans="1:11">
      <c r="A133" s="17">
        <v>10</v>
      </c>
      <c r="B133" s="63">
        <v>2001.9313989358304</v>
      </c>
      <c r="C133" s="64">
        <v>4.1656034762502509E+32</v>
      </c>
      <c r="D133" s="64">
        <v>1.5909747630962166E+35</v>
      </c>
      <c r="E133" s="64">
        <v>6.7482776315254071E+35</v>
      </c>
      <c r="F133" s="60">
        <v>2084</v>
      </c>
      <c r="G133" s="11">
        <v>1</v>
      </c>
      <c r="H133" s="11">
        <v>1.0000000000000001E-9</v>
      </c>
      <c r="I133" s="11">
        <v>1</v>
      </c>
      <c r="J133" s="60">
        <f t="shared" si="6"/>
        <v>2000.9313989358304</v>
      </c>
      <c r="K133" s="18">
        <v>5.5</v>
      </c>
    </row>
    <row r="134" spans="1:11">
      <c r="A134" s="17">
        <v>11</v>
      </c>
      <c r="B134" s="63">
        <v>2001.9314010953067</v>
      </c>
      <c r="C134" s="64">
        <v>4.1656034526975374E+32</v>
      </c>
      <c r="D134" s="64">
        <v>1.5909747630962175E+35</v>
      </c>
      <c r="E134" s="64">
        <v>6.7482775933700112E+35</v>
      </c>
      <c r="F134" s="60">
        <v>2069</v>
      </c>
      <c r="G134" s="11">
        <v>1</v>
      </c>
      <c r="H134" s="11">
        <v>1.0000000000000001E-9</v>
      </c>
      <c r="I134" s="11">
        <v>1</v>
      </c>
      <c r="J134" s="60">
        <f t="shared" si="6"/>
        <v>2000.9314010953067</v>
      </c>
      <c r="K134" s="18">
        <v>6</v>
      </c>
    </row>
    <row r="135" spans="1:11">
      <c r="A135" s="17">
        <v>12</v>
      </c>
      <c r="B135" s="63">
        <v>2001.9312913022063</v>
      </c>
      <c r="C135" s="64">
        <v>4.1656046501760744E+32</v>
      </c>
      <c r="D135" s="64">
        <v>1.5909747630962234E+35</v>
      </c>
      <c r="E135" s="64">
        <v>6.7482795332852401E+35</v>
      </c>
      <c r="F135" s="60">
        <v>2057</v>
      </c>
      <c r="G135" s="11">
        <v>1</v>
      </c>
      <c r="H135" s="11">
        <v>1.0000000000000001E-9</v>
      </c>
      <c r="I135" s="11">
        <v>1</v>
      </c>
      <c r="J135" s="60">
        <f t="shared" si="6"/>
        <v>2000.9312913022063</v>
      </c>
      <c r="K135" s="18">
        <v>6.5</v>
      </c>
    </row>
    <row r="136" spans="1:11">
      <c r="A136" s="17">
        <v>13</v>
      </c>
      <c r="B136" s="63">
        <v>2001.9313353139628</v>
      </c>
      <c r="C136" s="64">
        <v>4.1656041701537291E+32</v>
      </c>
      <c r="D136" s="64">
        <v>1.5909747630962257E+35</v>
      </c>
      <c r="E136" s="64">
        <v>6.7482787556490414E+35</v>
      </c>
      <c r="F136" s="60">
        <v>2065</v>
      </c>
      <c r="G136" s="11">
        <v>1</v>
      </c>
      <c r="H136" s="11">
        <v>1.0000000000000001E-9</v>
      </c>
      <c r="I136" s="11">
        <v>1</v>
      </c>
      <c r="J136" s="60">
        <f t="shared" si="6"/>
        <v>2000.9313353139628</v>
      </c>
      <c r="K136" s="18">
        <v>7</v>
      </c>
    </row>
    <row r="137" spans="1:11">
      <c r="A137" s="17">
        <v>14</v>
      </c>
      <c r="B137" s="63">
        <v>2001.9313488060664</v>
      </c>
      <c r="C137" s="64">
        <v>4.1656040229996446E+32</v>
      </c>
      <c r="D137" s="64">
        <v>1.5909747630962304E+35</v>
      </c>
      <c r="E137" s="64">
        <v>6.7482785172594242E+35</v>
      </c>
      <c r="F137" s="60">
        <v>2063</v>
      </c>
      <c r="G137" s="11">
        <v>1</v>
      </c>
      <c r="H137" s="11">
        <v>1.0000000000000001E-9</v>
      </c>
      <c r="I137" s="11">
        <v>1</v>
      </c>
      <c r="J137" s="60">
        <f t="shared" si="6"/>
        <v>2000.9313488060664</v>
      </c>
      <c r="K137" s="18">
        <v>7.5</v>
      </c>
    </row>
    <row r="138" spans="1:11">
      <c r="A138" s="17">
        <v>15</v>
      </c>
      <c r="B138" s="63">
        <v>2001.9313523052238</v>
      </c>
      <c r="C138" s="64">
        <v>4.1656039848354424E+32</v>
      </c>
      <c r="D138" s="64">
        <v>1.5909747630962293E+35</v>
      </c>
      <c r="E138" s="64">
        <v>6.7482784554334172E+35</v>
      </c>
      <c r="F138" s="60">
        <v>2082</v>
      </c>
      <c r="G138" s="11">
        <v>1</v>
      </c>
      <c r="H138" s="11">
        <v>1.0000000000000001E-9</v>
      </c>
      <c r="I138" s="11">
        <v>1</v>
      </c>
      <c r="J138" s="60">
        <f t="shared" si="6"/>
        <v>2000.9313523052238</v>
      </c>
      <c r="K138" s="18">
        <v>8</v>
      </c>
    </row>
    <row r="139" spans="1:11">
      <c r="A139" s="17">
        <v>16</v>
      </c>
      <c r="B139" s="63">
        <v>2001.9313387314869</v>
      </c>
      <c r="C139" s="64">
        <v>4.1656041328798756E+32</v>
      </c>
      <c r="D139" s="64">
        <v>1.5909747630962255E+35</v>
      </c>
      <c r="E139" s="64">
        <v>6.7482786952653985E+35</v>
      </c>
      <c r="F139" s="60">
        <v>2068</v>
      </c>
      <c r="G139" s="11">
        <v>1</v>
      </c>
      <c r="H139" s="11">
        <v>1.0000000000000001E-9</v>
      </c>
      <c r="I139" s="11">
        <v>1</v>
      </c>
      <c r="J139" s="60">
        <f t="shared" si="6"/>
        <v>2000.9313387314869</v>
      </c>
      <c r="K139" s="18">
        <v>8.5</v>
      </c>
    </row>
    <row r="140" spans="1:11">
      <c r="A140" s="17">
        <v>17</v>
      </c>
      <c r="B140" s="63">
        <v>2001.9313558521299</v>
      </c>
      <c r="C140" s="64">
        <v>4.1656039461504562E+32</v>
      </c>
      <c r="D140" s="64">
        <v>1.5909747630962262E+35</v>
      </c>
      <c r="E140" s="64">
        <v>6.7482783927637386E+35</v>
      </c>
      <c r="F140" s="60">
        <v>2077</v>
      </c>
      <c r="G140" s="11">
        <v>1</v>
      </c>
      <c r="H140" s="11">
        <v>1.0000000000000001E-9</v>
      </c>
      <c r="I140" s="11">
        <v>1</v>
      </c>
      <c r="J140" s="60">
        <f t="shared" si="6"/>
        <v>2000.9313558521299</v>
      </c>
      <c r="K140" s="18">
        <v>9</v>
      </c>
    </row>
    <row r="141" spans="1:11">
      <c r="A141" s="17">
        <v>18</v>
      </c>
      <c r="B141" s="63">
        <v>2001.9313306695292</v>
      </c>
      <c r="C141" s="64">
        <v>4.1656042208090792E+32</v>
      </c>
      <c r="D141" s="64">
        <v>1.590974763096219E+35</v>
      </c>
      <c r="E141" s="64">
        <v>6.7482788377107091E+35</v>
      </c>
      <c r="F141" s="60">
        <v>2078</v>
      </c>
      <c r="G141" s="11">
        <v>1</v>
      </c>
      <c r="H141" s="11">
        <v>1.0000000000000001E-9</v>
      </c>
      <c r="I141" s="11">
        <v>1</v>
      </c>
      <c r="J141" s="60">
        <f t="shared" si="6"/>
        <v>2000.9313306695292</v>
      </c>
      <c r="K141" s="18">
        <v>9.5</v>
      </c>
    </row>
    <row r="142" spans="1:11">
      <c r="A142" s="17">
        <v>19</v>
      </c>
      <c r="B142" s="63">
        <v>2001.9313818689982</v>
      </c>
      <c r="C142" s="64">
        <v>4.1656036623927425E+32</v>
      </c>
      <c r="D142" s="64">
        <v>1.5909747630962199E+35</v>
      </c>
      <c r="E142" s="64">
        <v>6.7482779330762421E+35</v>
      </c>
      <c r="F142" s="60">
        <v>2077</v>
      </c>
      <c r="G142" s="11">
        <v>1</v>
      </c>
      <c r="H142" s="11">
        <v>1.0000000000000001E-9</v>
      </c>
      <c r="I142" s="11">
        <v>1</v>
      </c>
      <c r="J142" s="60">
        <f t="shared" si="6"/>
        <v>2000.9313818689982</v>
      </c>
      <c r="K142" s="18">
        <v>10</v>
      </c>
    </row>
    <row r="143" spans="1:11">
      <c r="A143" s="17">
        <v>20</v>
      </c>
      <c r="B143" s="63">
        <v>2001.9314319968507</v>
      </c>
      <c r="C143" s="64">
        <v>4.1656031156642635E+32</v>
      </c>
      <c r="D143" s="64">
        <v>1.5909747630961952E+35</v>
      </c>
      <c r="E143" s="64">
        <v>6.7482770473761065E+35</v>
      </c>
      <c r="F143" s="60">
        <v>2063</v>
      </c>
      <c r="G143" s="11">
        <v>1</v>
      </c>
      <c r="H143" s="11">
        <v>1.0000000000000001E-9</v>
      </c>
      <c r="I143" s="11">
        <v>1</v>
      </c>
      <c r="J143" s="60">
        <f t="shared" si="6"/>
        <v>2000.9314319968507</v>
      </c>
      <c r="K143" s="18">
        <v>10.5</v>
      </c>
    </row>
    <row r="144" spans="1:11">
      <c r="A144" s="17">
        <v>21</v>
      </c>
      <c r="B144" s="63">
        <v>2001.9314140790216</v>
      </c>
      <c r="C144" s="64">
        <v>4.1656033110882913E+32</v>
      </c>
      <c r="D144" s="64">
        <v>1.5909747630962055E+35</v>
      </c>
      <c r="E144" s="64">
        <v>6.7482773639630316E+35</v>
      </c>
      <c r="F144" s="60">
        <v>2079</v>
      </c>
      <c r="G144" s="11">
        <v>1</v>
      </c>
      <c r="H144" s="11">
        <v>1.0000000000000001E-9</v>
      </c>
      <c r="I144" s="11">
        <v>1</v>
      </c>
      <c r="J144" s="60">
        <f t="shared" si="6"/>
        <v>2000.9314140790216</v>
      </c>
      <c r="K144" s="18">
        <v>11</v>
      </c>
    </row>
    <row r="145" spans="1:11">
      <c r="A145" s="17">
        <v>22</v>
      </c>
      <c r="B145" s="63">
        <v>2001.931338285287</v>
      </c>
      <c r="C145" s="64">
        <v>4.1656041377464438E+32</v>
      </c>
      <c r="D145" s="64">
        <v>1.5909747630962282E+35</v>
      </c>
      <c r="E145" s="64">
        <v>6.7482787031492388E+35</v>
      </c>
      <c r="F145" s="60">
        <v>2094</v>
      </c>
      <c r="G145" s="11">
        <v>1</v>
      </c>
      <c r="H145" s="11">
        <v>1.0000000000000001E-9</v>
      </c>
      <c r="I145" s="11">
        <v>1</v>
      </c>
      <c r="J145" s="60">
        <f t="shared" si="6"/>
        <v>2000.931338285287</v>
      </c>
      <c r="K145" s="18">
        <v>11.5</v>
      </c>
    </row>
    <row r="146" spans="1:11">
      <c r="A146" s="17">
        <v>23</v>
      </c>
      <c r="B146" s="63">
        <v>2001.9314120966628</v>
      </c>
      <c r="C146" s="64">
        <v>4.1656033327092653E+32</v>
      </c>
      <c r="D146" s="64">
        <v>1.5909747630962144E+35</v>
      </c>
      <c r="E146" s="64">
        <v>6.7482773989890098E+35</v>
      </c>
      <c r="F146" s="60">
        <v>2076</v>
      </c>
      <c r="G146" s="11">
        <v>1</v>
      </c>
      <c r="H146" s="11">
        <v>1.0000000000000001E-9</v>
      </c>
      <c r="I146" s="11">
        <v>1</v>
      </c>
      <c r="J146" s="60">
        <f t="shared" si="6"/>
        <v>2000.9314120966628</v>
      </c>
      <c r="K146" s="18">
        <v>12</v>
      </c>
    </row>
    <row r="147" spans="1:11">
      <c r="A147" s="17">
        <v>24</v>
      </c>
      <c r="B147" s="63">
        <v>2001.9313920310422</v>
      </c>
      <c r="C147" s="64">
        <v>4.1656035515585677E+32</v>
      </c>
      <c r="D147" s="64">
        <v>1.5909747630962168E+35</v>
      </c>
      <c r="E147" s="64">
        <v>6.7482777535248793E+35</v>
      </c>
      <c r="F147" s="60">
        <v>2057</v>
      </c>
      <c r="G147" s="11">
        <v>1</v>
      </c>
      <c r="H147" s="11">
        <v>1.0000000000000001E-9</v>
      </c>
      <c r="I147" s="11">
        <v>1</v>
      </c>
      <c r="J147" s="60">
        <f t="shared" si="6"/>
        <v>2000.9313920310422</v>
      </c>
      <c r="K147" s="18">
        <v>12.5</v>
      </c>
    </row>
    <row r="148" spans="1:11">
      <c r="A148" s="17">
        <v>25</v>
      </c>
      <c r="B148" s="63">
        <v>2001.9314022082094</v>
      </c>
      <c r="C148" s="64">
        <v>4.1656034405594732E+32</v>
      </c>
      <c r="D148" s="64">
        <v>1.590974763096221E+35</v>
      </c>
      <c r="E148" s="64">
        <v>6.7482775737063472E+35</v>
      </c>
      <c r="F148" s="60">
        <v>2075</v>
      </c>
      <c r="G148" s="11">
        <v>1</v>
      </c>
      <c r="H148" s="11">
        <v>1.0000000000000001E-9</v>
      </c>
      <c r="I148" s="11">
        <v>1</v>
      </c>
      <c r="J148" s="60">
        <f t="shared" si="6"/>
        <v>2000.9314022082094</v>
      </c>
      <c r="K148" s="18">
        <v>13</v>
      </c>
    </row>
    <row r="149" spans="1:11">
      <c r="A149" s="17">
        <v>26</v>
      </c>
      <c r="B149" s="63">
        <v>2001.931367052134</v>
      </c>
      <c r="C149" s="64">
        <v>4.1656038239955679E+32</v>
      </c>
      <c r="D149" s="64">
        <v>1.590974763096224E+35</v>
      </c>
      <c r="E149" s="64">
        <v>6.7482781948728207E+35</v>
      </c>
      <c r="F149" s="60">
        <v>2080</v>
      </c>
      <c r="G149" s="11">
        <v>1</v>
      </c>
      <c r="H149" s="11">
        <v>1.0000000000000001E-9</v>
      </c>
      <c r="I149" s="11">
        <v>1</v>
      </c>
      <c r="J149" s="60">
        <f t="shared" si="6"/>
        <v>2000.931367052134</v>
      </c>
      <c r="K149" s="18">
        <v>13.5</v>
      </c>
    </row>
    <row r="150" spans="1:11">
      <c r="A150" s="17">
        <v>27</v>
      </c>
      <c r="B150" s="63">
        <v>2001.9314034478091</v>
      </c>
      <c r="C150" s="64">
        <v>4.1656034270395489E+32</v>
      </c>
      <c r="D150" s="64">
        <v>1.5909747630962181E+35</v>
      </c>
      <c r="E150" s="64">
        <v>6.748277551804069E+35</v>
      </c>
      <c r="F150" s="60">
        <v>2075</v>
      </c>
      <c r="G150" s="11">
        <v>1</v>
      </c>
      <c r="H150" s="11">
        <v>1.0000000000000001E-9</v>
      </c>
      <c r="I150" s="11">
        <v>1</v>
      </c>
      <c r="J150" s="60">
        <f t="shared" si="6"/>
        <v>2000.9314034478091</v>
      </c>
      <c r="K150" s="18">
        <v>14</v>
      </c>
    </row>
    <row r="151" spans="1:11">
      <c r="A151" s="17">
        <v>28</v>
      </c>
      <c r="B151" s="63">
        <v>2001.9313721204605</v>
      </c>
      <c r="C151" s="64">
        <v>4.165603768716924E+32</v>
      </c>
      <c r="D151" s="64">
        <v>1.5909747630962162E+35</v>
      </c>
      <c r="E151" s="64">
        <v>6.7482781053214163E+35</v>
      </c>
      <c r="F151" s="60">
        <v>2065</v>
      </c>
      <c r="G151" s="11">
        <v>1</v>
      </c>
      <c r="H151" s="11">
        <v>1.0000000000000001E-9</v>
      </c>
      <c r="I151" s="11">
        <v>1</v>
      </c>
      <c r="J151" s="60">
        <f t="shared" si="6"/>
        <v>2000.9313721204605</v>
      </c>
      <c r="K151" s="18">
        <v>14.5</v>
      </c>
    </row>
    <row r="152" spans="1:11">
      <c r="A152" s="17">
        <v>29</v>
      </c>
      <c r="B152" s="75">
        <v>2001.9313557198734</v>
      </c>
      <c r="C152" s="76">
        <v>4.1656039475929339E+32</v>
      </c>
      <c r="D152" s="76">
        <v>1.5909747630962258E+35</v>
      </c>
      <c r="E152" s="76">
        <v>6.748278395100553E+35</v>
      </c>
      <c r="F152" s="77">
        <v>2091</v>
      </c>
      <c r="G152" s="11">
        <v>1</v>
      </c>
      <c r="H152" s="11">
        <v>1.0000000000000001E-9</v>
      </c>
      <c r="I152" s="11">
        <v>1</v>
      </c>
      <c r="J152" s="60">
        <f t="shared" si="6"/>
        <v>2000.9313557198734</v>
      </c>
      <c r="K152" s="18">
        <v>15</v>
      </c>
    </row>
    <row r="153" spans="1:11">
      <c r="A153" s="17">
        <v>30</v>
      </c>
      <c r="B153" s="69">
        <v>2001.931349933044</v>
      </c>
      <c r="C153" s="70">
        <v>4.1656040107080516E+32</v>
      </c>
      <c r="D153" s="70">
        <v>1.5909747630962282E+35</v>
      </c>
      <c r="E153" s="70">
        <v>6.7482784973470436E+35</v>
      </c>
      <c r="F153" s="71">
        <v>2088</v>
      </c>
      <c r="G153" s="11">
        <v>1</v>
      </c>
      <c r="H153" s="11">
        <v>1.0000000000000001E-9</v>
      </c>
      <c r="I153" s="11">
        <v>1</v>
      </c>
      <c r="J153" s="60">
        <f t="shared" si="6"/>
        <v>2000.931349933044</v>
      </c>
      <c r="K153" s="18">
        <v>15.5</v>
      </c>
    </row>
    <row r="154" spans="1:11">
      <c r="A154" s="17">
        <v>31</v>
      </c>
      <c r="B154" s="75">
        <v>2001.9313624429028</v>
      </c>
      <c r="C154" s="76">
        <v>4.1656038742669922E+32</v>
      </c>
      <c r="D154" s="76">
        <v>1.5909747630962268E+35</v>
      </c>
      <c r="E154" s="76">
        <v>6.7482782763125276E+35</v>
      </c>
      <c r="F154" s="77">
        <v>2071</v>
      </c>
      <c r="G154" s="11">
        <v>1</v>
      </c>
      <c r="H154" s="11">
        <v>1.0000000000000001E-9</v>
      </c>
      <c r="I154" s="11">
        <v>1</v>
      </c>
      <c r="J154" s="60">
        <f t="shared" si="6"/>
        <v>2000.9313624429028</v>
      </c>
      <c r="K154" s="18">
        <v>16</v>
      </c>
    </row>
    <row r="155" spans="1:11">
      <c r="A155" s="17">
        <v>32</v>
      </c>
      <c r="B155" s="63">
        <v>2001.9311779603113</v>
      </c>
      <c r="C155" s="64">
        <v>4.1656058863605893E+32</v>
      </c>
      <c r="D155" s="64">
        <v>1.5909747630961065E+35</v>
      </c>
      <c r="E155" s="64">
        <v>6.7482815359041544E+35</v>
      </c>
      <c r="F155" s="60">
        <v>2095</v>
      </c>
      <c r="G155" s="11">
        <v>1</v>
      </c>
      <c r="H155" s="11">
        <v>1.0000000000000001E-9</v>
      </c>
      <c r="I155" s="11">
        <v>1</v>
      </c>
      <c r="J155" s="60">
        <f t="shared" si="6"/>
        <v>2000.9311779603113</v>
      </c>
      <c r="K155" s="18">
        <v>16.5</v>
      </c>
    </row>
    <row r="156" spans="1:11">
      <c r="A156" s="17">
        <v>33</v>
      </c>
      <c r="B156" s="94">
        <v>2001.9312136517005</v>
      </c>
      <c r="C156" s="95">
        <v>4.1656054970857226E+32</v>
      </c>
      <c r="D156" s="95">
        <v>1.5909747630961454E+35</v>
      </c>
      <c r="E156" s="95">
        <v>6.7482809052788709E+35</v>
      </c>
      <c r="F156" s="96">
        <v>2064</v>
      </c>
      <c r="G156" s="11">
        <v>1</v>
      </c>
      <c r="H156" s="11">
        <v>1.0000000000000001E-9</v>
      </c>
      <c r="I156" s="11">
        <v>1</v>
      </c>
      <c r="J156" s="60">
        <f t="shared" si="6"/>
        <v>2000.9312136517005</v>
      </c>
      <c r="K156" s="18">
        <v>17</v>
      </c>
    </row>
    <row r="157" spans="1:11">
      <c r="A157" s="17">
        <v>34</v>
      </c>
      <c r="B157" s="63">
        <v>2001.9312809714547</v>
      </c>
      <c r="C157" s="64">
        <v>4.1656047628502932E+32</v>
      </c>
      <c r="D157" s="64">
        <v>1.5909747630962054E+35</v>
      </c>
      <c r="E157" s="64">
        <v>6.7482797158174742E+35</v>
      </c>
      <c r="F157" s="60">
        <v>2095</v>
      </c>
      <c r="G157" s="11">
        <v>1</v>
      </c>
      <c r="H157" s="11">
        <v>1.0000000000000001E-9</v>
      </c>
      <c r="I157" s="11">
        <v>1</v>
      </c>
      <c r="J157" s="60">
        <f t="shared" si="6"/>
        <v>2000.9312809714547</v>
      </c>
      <c r="K157" s="18">
        <v>17.5</v>
      </c>
    </row>
    <row r="158" spans="1:11">
      <c r="A158" s="17">
        <v>35</v>
      </c>
      <c r="B158" s="94">
        <v>2001.9312875521832</v>
      </c>
      <c r="C158" s="95">
        <v>4.1656046910763589E+32</v>
      </c>
      <c r="D158" s="95">
        <v>1.5909747630962081E+35</v>
      </c>
      <c r="E158" s="95">
        <v>6.7482795995437016E+35</v>
      </c>
      <c r="F158" s="96">
        <v>2074</v>
      </c>
      <c r="G158" s="11">
        <v>1</v>
      </c>
      <c r="H158" s="11">
        <v>1.0000000000000001E-9</v>
      </c>
      <c r="I158" s="11">
        <v>1</v>
      </c>
      <c r="J158" s="60">
        <f t="shared" si="6"/>
        <v>2000.9312875521832</v>
      </c>
      <c r="K158" s="18">
        <v>18</v>
      </c>
    </row>
    <row r="159" spans="1:11">
      <c r="A159" s="17">
        <v>36</v>
      </c>
      <c r="B159" s="63">
        <v>2001.9313665701429</v>
      </c>
      <c r="C159" s="64">
        <v>4.1656038292525095E+32</v>
      </c>
      <c r="D159" s="64">
        <v>1.5909747630962312E+35</v>
      </c>
      <c r="E159" s="64">
        <v>6.7482782033890655E+35</v>
      </c>
      <c r="F159" s="60">
        <v>2105</v>
      </c>
      <c r="G159" s="11">
        <v>1</v>
      </c>
      <c r="H159" s="11">
        <v>1.0000000000000001E-9</v>
      </c>
      <c r="I159" s="11">
        <v>1</v>
      </c>
      <c r="J159" s="60">
        <f t="shared" si="6"/>
        <v>2000.9313665701429</v>
      </c>
      <c r="K159" s="18">
        <v>18.5</v>
      </c>
    </row>
    <row r="160" spans="1:11">
      <c r="A160" s="17">
        <v>37</v>
      </c>
      <c r="B160" s="94">
        <v>2001.9312071518686</v>
      </c>
      <c r="C160" s="95">
        <v>4.1656055679773714E+32</v>
      </c>
      <c r="D160" s="95">
        <v>1.5909747630961428E+35</v>
      </c>
      <c r="E160" s="95">
        <v>6.748281020123341E+35</v>
      </c>
      <c r="F160" s="96">
        <v>2068</v>
      </c>
      <c r="G160" s="11">
        <v>1</v>
      </c>
      <c r="H160" s="11">
        <v>1.0000000000000001E-9</v>
      </c>
      <c r="I160" s="11">
        <v>1</v>
      </c>
      <c r="J160" s="60">
        <f t="shared" si="6"/>
        <v>2000.9312071518686</v>
      </c>
      <c r="K160" s="18">
        <v>19</v>
      </c>
    </row>
    <row r="161" spans="1:11">
      <c r="A161" s="17">
        <v>38</v>
      </c>
      <c r="B161" s="63">
        <v>2001.931289351344</v>
      </c>
      <c r="C161" s="64">
        <v>4.1656046714535066E+32</v>
      </c>
      <c r="D161" s="64">
        <v>1.5909747630962198E+35</v>
      </c>
      <c r="E161" s="64">
        <v>6.7482795677546814E+35</v>
      </c>
      <c r="F161" s="60">
        <v>2089</v>
      </c>
      <c r="G161" s="11">
        <v>1</v>
      </c>
      <c r="H161" s="11">
        <v>1.0000000000000001E-9</v>
      </c>
      <c r="I161" s="11">
        <v>1</v>
      </c>
      <c r="J161" s="60">
        <f t="shared" si="6"/>
        <v>2000.931289351344</v>
      </c>
      <c r="K161" s="18">
        <v>19.5</v>
      </c>
    </row>
    <row r="162" spans="1:11">
      <c r="A162" s="17">
        <v>39</v>
      </c>
      <c r="B162" s="94">
        <v>2001.9312622335922</v>
      </c>
      <c r="C162" s="95">
        <v>4.1656049672182659E+32</v>
      </c>
      <c r="D162" s="95">
        <v>1.5909747630961937E+35</v>
      </c>
      <c r="E162" s="95">
        <v>6.7482800468935907E+35</v>
      </c>
      <c r="F162" s="96">
        <v>2075</v>
      </c>
      <c r="G162" s="11">
        <v>1</v>
      </c>
      <c r="H162" s="11">
        <v>1.0000000000000001E-9</v>
      </c>
      <c r="I162" s="11">
        <v>1</v>
      </c>
      <c r="J162" s="60">
        <f t="shared" si="6"/>
        <v>2000.9312622335922</v>
      </c>
      <c r="K162" s="18">
        <v>20</v>
      </c>
    </row>
    <row r="163" spans="1:11">
      <c r="A163" s="17">
        <v>40</v>
      </c>
      <c r="B163" s="63">
        <v>2001.9312739786471</v>
      </c>
      <c r="C163" s="64">
        <v>4.165604839118657E+32</v>
      </c>
      <c r="D163" s="64">
        <v>1.5909747630962061E+35</v>
      </c>
      <c r="E163" s="64">
        <v>6.7482798393722239E+35</v>
      </c>
      <c r="F163" s="60">
        <v>2070</v>
      </c>
      <c r="G163" s="11">
        <v>1</v>
      </c>
      <c r="H163" s="11">
        <v>1.0000000000000001E-9</v>
      </c>
      <c r="I163" s="11">
        <v>1</v>
      </c>
      <c r="J163" s="60">
        <f t="shared" si="6"/>
        <v>2000.9312739786471</v>
      </c>
      <c r="K163" s="18">
        <v>20.5</v>
      </c>
    </row>
    <row r="164" spans="1:11">
      <c r="A164" s="17">
        <v>41</v>
      </c>
      <c r="B164" s="94">
        <v>2001.9312265259687</v>
      </c>
      <c r="C164" s="95">
        <v>4.1656053566701111E+32</v>
      </c>
      <c r="D164" s="95">
        <v>1.5909747630961607E+35</v>
      </c>
      <c r="E164" s="95">
        <v>6.7482806778055794E+35</v>
      </c>
      <c r="F164" s="96">
        <v>2077</v>
      </c>
      <c r="G164" s="11">
        <v>1</v>
      </c>
      <c r="H164" s="11">
        <v>1.0000000000000001E-9</v>
      </c>
      <c r="I164" s="11">
        <v>1</v>
      </c>
      <c r="J164" s="60">
        <f t="shared" si="6"/>
        <v>2000.9312265259687</v>
      </c>
      <c r="K164" s="18">
        <v>21</v>
      </c>
    </row>
    <row r="165" spans="1:11">
      <c r="A165" s="17">
        <v>42</v>
      </c>
      <c r="B165" s="63">
        <v>2001.9312860372661</v>
      </c>
      <c r="C165" s="64">
        <v>4.1656047075991047E+32</v>
      </c>
      <c r="D165" s="64">
        <v>1.5909747630962159E+35</v>
      </c>
      <c r="E165" s="64">
        <v>6.7482796263105501E+35</v>
      </c>
      <c r="F165" s="60">
        <v>2087</v>
      </c>
      <c r="G165" s="11">
        <v>1</v>
      </c>
      <c r="H165" s="11">
        <v>1.0000000000000001E-9</v>
      </c>
      <c r="I165" s="11">
        <v>1</v>
      </c>
      <c r="J165" s="60">
        <f t="shared" si="6"/>
        <v>2000.9312860372661</v>
      </c>
      <c r="K165" s="18">
        <v>21.5</v>
      </c>
    </row>
    <row r="166" spans="1:11">
      <c r="A166" s="17">
        <v>43</v>
      </c>
      <c r="B166" s="94">
        <v>2001.931258398874</v>
      </c>
      <c r="C166" s="95">
        <v>4.1656050090423497E+32</v>
      </c>
      <c r="D166" s="95">
        <v>1.5909747630961974E+35</v>
      </c>
      <c r="E166" s="95">
        <v>6.7482801146486071E+35</v>
      </c>
      <c r="F166" s="96">
        <v>2098</v>
      </c>
      <c r="G166" s="11">
        <v>1</v>
      </c>
      <c r="H166" s="11">
        <v>1.0000000000000001E-9</v>
      </c>
      <c r="I166" s="11">
        <v>1</v>
      </c>
      <c r="J166" s="60">
        <f t="shared" si="6"/>
        <v>2000.931258398874</v>
      </c>
      <c r="K166" s="18">
        <v>22</v>
      </c>
    </row>
    <row r="167" spans="1:11">
      <c r="A167" s="17">
        <v>44</v>
      </c>
      <c r="B167" s="63">
        <v>2001.9312156053438</v>
      </c>
      <c r="C167" s="64">
        <v>4.1656054757779771E+32</v>
      </c>
      <c r="D167" s="64">
        <v>1.5909747630961594E+35</v>
      </c>
      <c r="E167" s="64">
        <v>6.7482808707603228E+35</v>
      </c>
      <c r="F167" s="60">
        <v>2073</v>
      </c>
      <c r="G167" s="11">
        <v>1</v>
      </c>
      <c r="H167" s="11">
        <v>1.0000000000000001E-9</v>
      </c>
      <c r="I167" s="11">
        <v>1</v>
      </c>
      <c r="J167" s="60">
        <f t="shared" si="6"/>
        <v>2000.9312156053438</v>
      </c>
      <c r="K167" s="18">
        <v>22.5</v>
      </c>
    </row>
    <row r="168" spans="1:11">
      <c r="A168" s="17">
        <v>45</v>
      </c>
      <c r="B168" s="94">
        <v>2001.9312998279511</v>
      </c>
      <c r="C168" s="95">
        <v>4.1656045571884356E+32</v>
      </c>
      <c r="D168" s="95">
        <v>1.5909747630962157E+35</v>
      </c>
      <c r="E168" s="95">
        <v>6.7482793826452659E+35</v>
      </c>
      <c r="F168" s="96">
        <v>2103</v>
      </c>
      <c r="G168" s="11">
        <v>1</v>
      </c>
      <c r="H168" s="11">
        <v>1.0000000000000001E-9</v>
      </c>
      <c r="I168" s="11">
        <v>1</v>
      </c>
      <c r="J168" s="60">
        <f t="shared" si="6"/>
        <v>2000.9312998279511</v>
      </c>
      <c r="K168" s="18">
        <v>23</v>
      </c>
    </row>
    <row r="169" spans="1:11">
      <c r="A169" s="17">
        <v>46</v>
      </c>
      <c r="B169" s="63">
        <v>2001.9312994088775</v>
      </c>
      <c r="C169" s="64">
        <v>4.1656045617591388E+32</v>
      </c>
      <c r="D169" s="64">
        <v>1.5909747630962157E+35</v>
      </c>
      <c r="E169" s="64">
        <v>6.7482793900498052E+35</v>
      </c>
      <c r="F169" s="60">
        <v>2096</v>
      </c>
      <c r="G169" s="11">
        <v>1</v>
      </c>
      <c r="H169" s="11">
        <v>1.0000000000000001E-9</v>
      </c>
      <c r="I169" s="11">
        <v>1</v>
      </c>
      <c r="J169" s="60">
        <f t="shared" si="6"/>
        <v>2000.9312994088775</v>
      </c>
      <c r="K169" s="18">
        <v>23.5</v>
      </c>
    </row>
    <row r="170" spans="1:11">
      <c r="A170" s="17">
        <v>47</v>
      </c>
      <c r="B170" s="94">
        <v>2001.931290499625</v>
      </c>
      <c r="C170" s="95">
        <v>4.165604658929535E+32</v>
      </c>
      <c r="D170" s="95">
        <v>1.5909747630962076E+35</v>
      </c>
      <c r="E170" s="95">
        <v>6.7482795474658469E+35</v>
      </c>
      <c r="F170" s="96">
        <v>2086</v>
      </c>
      <c r="G170" s="11">
        <v>1</v>
      </c>
      <c r="H170" s="11">
        <v>1.0000000000000001E-9</v>
      </c>
      <c r="I170" s="11">
        <v>1</v>
      </c>
      <c r="J170" s="60">
        <f t="shared" si="6"/>
        <v>2000.931290499625</v>
      </c>
      <c r="K170" s="18">
        <v>24</v>
      </c>
    </row>
    <row r="171" spans="1:11">
      <c r="A171" s="17">
        <v>48</v>
      </c>
      <c r="B171" s="63">
        <v>2001.9312519597963</v>
      </c>
      <c r="C171" s="64">
        <v>4.1656050792713115E+32</v>
      </c>
      <c r="D171" s="64">
        <v>1.5909747630961786E+35</v>
      </c>
      <c r="E171" s="64">
        <v>6.748280228419524E+35</v>
      </c>
      <c r="F171" s="60">
        <v>2091</v>
      </c>
      <c r="G171" s="11">
        <v>1</v>
      </c>
      <c r="H171" s="11">
        <v>1.0000000000000001E-9</v>
      </c>
      <c r="I171" s="11">
        <v>1</v>
      </c>
      <c r="J171" s="60">
        <f t="shared" si="6"/>
        <v>2000.9312519597963</v>
      </c>
      <c r="K171" s="18">
        <v>24.5</v>
      </c>
    </row>
    <row r="172" spans="1:11">
      <c r="A172" s="17">
        <v>49</v>
      </c>
      <c r="B172" s="94">
        <v>2001.931338148903</v>
      </c>
      <c r="C172" s="95">
        <v>4.1656041392339409E+32</v>
      </c>
      <c r="D172" s="95">
        <v>1.5909747630962284E+35</v>
      </c>
      <c r="E172" s="95">
        <v>6.7482787055589842E+35</v>
      </c>
      <c r="F172" s="96">
        <v>2100</v>
      </c>
      <c r="G172" s="11">
        <v>1</v>
      </c>
      <c r="H172" s="11">
        <v>1.0000000000000001E-9</v>
      </c>
      <c r="I172" s="11">
        <v>1</v>
      </c>
      <c r="J172" s="60">
        <f t="shared" si="6"/>
        <v>2000.931338148903</v>
      </c>
      <c r="K172" s="18">
        <v>25</v>
      </c>
    </row>
    <row r="173" spans="1:11">
      <c r="A173" s="17">
        <v>50</v>
      </c>
      <c r="B173" s="63">
        <v>2001.9312749588044</v>
      </c>
      <c r="C173" s="64">
        <v>4.1656048284283653E+32</v>
      </c>
      <c r="D173" s="64">
        <v>1.5909747630961971E+35</v>
      </c>
      <c r="E173" s="64">
        <v>6.7482798220539512E+35</v>
      </c>
      <c r="F173" s="60">
        <v>2086</v>
      </c>
      <c r="G173" s="11">
        <v>1</v>
      </c>
      <c r="H173" s="11">
        <v>1.0000000000000001E-9</v>
      </c>
      <c r="I173" s="11">
        <v>1</v>
      </c>
      <c r="J173" s="60">
        <f t="shared" si="6"/>
        <v>2000.9312749588044</v>
      </c>
      <c r="K173" s="18">
        <v>25.5</v>
      </c>
    </row>
    <row r="174" spans="1:11">
      <c r="A174" s="17">
        <v>51</v>
      </c>
      <c r="B174" s="94">
        <v>2001.9313417292128</v>
      </c>
      <c r="C174" s="95">
        <v>4.1656041001846272E+32</v>
      </c>
      <c r="D174" s="95">
        <v>1.5909747630962249E+35</v>
      </c>
      <c r="E174" s="95">
        <v>6.7482786422990955E+35</v>
      </c>
      <c r="F174" s="96">
        <v>2120</v>
      </c>
      <c r="G174" s="11">
        <v>1</v>
      </c>
      <c r="H174" s="11">
        <v>1.0000000000000001E-9</v>
      </c>
      <c r="I174" s="11">
        <v>1</v>
      </c>
      <c r="J174" s="60">
        <f t="shared" si="6"/>
        <v>2000.9313417292128</v>
      </c>
      <c r="K174" s="18">
        <v>26</v>
      </c>
    </row>
    <row r="175" spans="1:11">
      <c r="A175" s="17">
        <v>52</v>
      </c>
      <c r="B175" s="63">
        <v>2001.931279462731</v>
      </c>
      <c r="C175" s="64">
        <v>4.165604779305495E+32</v>
      </c>
      <c r="D175" s="64">
        <v>1.590974763096215E+35</v>
      </c>
      <c r="E175" s="64">
        <v>6.7482797424749024E+35</v>
      </c>
      <c r="F175" s="60">
        <v>2091</v>
      </c>
      <c r="G175" s="11">
        <v>1</v>
      </c>
      <c r="H175" s="11">
        <v>1.0000000000000001E-9</v>
      </c>
      <c r="I175" s="11">
        <v>1</v>
      </c>
      <c r="J175" s="60">
        <f t="shared" si="6"/>
        <v>2000.931279462731</v>
      </c>
      <c r="K175" s="18">
        <v>26.5</v>
      </c>
    </row>
    <row r="176" spans="1:11">
      <c r="A176" s="17">
        <v>53</v>
      </c>
      <c r="B176" s="94">
        <v>2001.9312696103975</v>
      </c>
      <c r="C176" s="95">
        <v>4.165604886761785E+32</v>
      </c>
      <c r="D176" s="95">
        <v>1.5909747630962048E+35</v>
      </c>
      <c r="E176" s="95">
        <v>6.7482799165540917E+35</v>
      </c>
      <c r="F176" s="96">
        <v>2108</v>
      </c>
      <c r="G176" s="11">
        <v>1</v>
      </c>
      <c r="H176" s="11">
        <v>1.0000000000000001E-9</v>
      </c>
      <c r="I176" s="11">
        <v>1</v>
      </c>
      <c r="J176" s="60">
        <f t="shared" si="6"/>
        <v>2000.9312696103975</v>
      </c>
      <c r="K176" s="18">
        <v>27</v>
      </c>
    </row>
    <row r="177" spans="1:11">
      <c r="A177" s="17">
        <v>54</v>
      </c>
      <c r="B177" s="63">
        <v>2001.9312645782509</v>
      </c>
      <c r="C177" s="64">
        <v>4.1656049416458371E+32</v>
      </c>
      <c r="D177" s="64">
        <v>1.5909747630962055E+35</v>
      </c>
      <c r="E177" s="64">
        <v>6.7482800054662559E+35</v>
      </c>
      <c r="F177" s="60">
        <v>2109</v>
      </c>
      <c r="G177" s="11">
        <v>1</v>
      </c>
      <c r="H177" s="11">
        <v>1.0000000000000001E-9</v>
      </c>
      <c r="I177" s="11">
        <v>1</v>
      </c>
      <c r="J177" s="60">
        <f t="shared" si="6"/>
        <v>2000.9312645782509</v>
      </c>
      <c r="K177" s="18">
        <v>27.5</v>
      </c>
    </row>
    <row r="178" spans="1:11">
      <c r="A178" s="17">
        <v>55</v>
      </c>
      <c r="B178" s="94">
        <v>2001.9313110124172</v>
      </c>
      <c r="C178" s="95">
        <v>4.1656044352030101E+32</v>
      </c>
      <c r="D178" s="95">
        <v>1.5909747630962251E+35</v>
      </c>
      <c r="E178" s="95">
        <v>6.7482791850288768E+35</v>
      </c>
      <c r="F178" s="96">
        <v>2105</v>
      </c>
      <c r="G178" s="11">
        <v>1</v>
      </c>
      <c r="H178" s="11">
        <v>1.0000000000000001E-9</v>
      </c>
      <c r="I178" s="11">
        <v>1</v>
      </c>
      <c r="J178" s="60">
        <f t="shared" si="6"/>
        <v>2000.9313110124172</v>
      </c>
      <c r="K178" s="18">
        <v>28</v>
      </c>
    </row>
    <row r="179" spans="1:11">
      <c r="A179" s="17">
        <v>56</v>
      </c>
      <c r="B179" s="63">
        <v>2001.9313446365229</v>
      </c>
      <c r="C179" s="64">
        <v>4.1656040684755388E+32</v>
      </c>
      <c r="D179" s="64">
        <v>1.590974763096233E+35</v>
      </c>
      <c r="E179" s="64">
        <v>6.7482785909303735E+35</v>
      </c>
      <c r="F179" s="60">
        <v>2080</v>
      </c>
      <c r="G179" s="11">
        <v>1</v>
      </c>
      <c r="H179" s="11">
        <v>1.0000000000000001E-9</v>
      </c>
      <c r="I179" s="11">
        <v>1</v>
      </c>
      <c r="J179" s="60">
        <f t="shared" si="6"/>
        <v>2000.9313446365229</v>
      </c>
      <c r="K179" s="18">
        <v>28.5</v>
      </c>
    </row>
    <row r="180" spans="1:11">
      <c r="A180" s="17">
        <v>57</v>
      </c>
      <c r="B180" s="94">
        <v>2001.9313269610811</v>
      </c>
      <c r="C180" s="95">
        <v>4.1656042612559709E+32</v>
      </c>
      <c r="D180" s="95">
        <v>1.5909747630962271E+35</v>
      </c>
      <c r="E180" s="95">
        <v>6.748278903234673E+35</v>
      </c>
      <c r="F180" s="96">
        <v>2098</v>
      </c>
      <c r="G180" s="11">
        <v>1</v>
      </c>
      <c r="H180" s="11">
        <v>1.0000000000000001E-9</v>
      </c>
      <c r="I180" s="11">
        <v>1</v>
      </c>
      <c r="J180" s="60">
        <f t="shared" si="6"/>
        <v>2000.9313269610811</v>
      </c>
      <c r="K180" s="18">
        <v>29</v>
      </c>
    </row>
    <row r="181" spans="1:11">
      <c r="A181" s="17">
        <v>58</v>
      </c>
      <c r="B181" s="63">
        <v>2001.9313148652893</v>
      </c>
      <c r="C181" s="64">
        <v>4.1656043931809488E+32</v>
      </c>
      <c r="D181" s="64">
        <v>1.5909747630962255E+35</v>
      </c>
      <c r="E181" s="64">
        <v>6.7482791169531365E+35</v>
      </c>
      <c r="F181" s="60">
        <v>2134</v>
      </c>
      <c r="G181" s="11">
        <v>1</v>
      </c>
      <c r="H181" s="11">
        <v>1.0000000000000001E-9</v>
      </c>
      <c r="I181" s="11">
        <v>1</v>
      </c>
      <c r="J181" s="60">
        <f t="shared" si="6"/>
        <v>2000.9313148652893</v>
      </c>
      <c r="K181" s="18">
        <v>29.5</v>
      </c>
    </row>
    <row r="182" spans="1:11" ht="13.15" thickBot="1">
      <c r="A182" s="19">
        <v>59</v>
      </c>
      <c r="B182" s="72">
        <v>2001.9312985620463</v>
      </c>
      <c r="C182" s="73">
        <v>4.1656045709952607E+32</v>
      </c>
      <c r="D182" s="73">
        <v>1.5909747630962159E+35</v>
      </c>
      <c r="E182" s="73">
        <v>6.7482794050123224E+35</v>
      </c>
      <c r="F182" s="74">
        <v>2106</v>
      </c>
      <c r="G182" s="20">
        <v>1</v>
      </c>
      <c r="H182" s="20">
        <v>1.0000000000000001E-9</v>
      </c>
      <c r="I182" s="20">
        <v>1</v>
      </c>
      <c r="J182" s="61">
        <f t="shared" si="6"/>
        <v>2000.9312985620463</v>
      </c>
      <c r="K182" s="21">
        <v>30</v>
      </c>
    </row>
  </sheetData>
  <phoneticPr fontId="2" type="noConversion"/>
  <conditionalFormatting sqref="B12:F12 B19:F19 B153:F153">
    <cfRule type="expression" dxfId="1" priority="1" stopIfTrue="1">
      <formula>$A$6=0</formula>
    </cfRule>
    <cfRule type="expression" dxfId="0" priority="2" stopIfTrue="1">
      <formula>$G$7="Решение найдено"</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№_5: Исследование метода поразрядного приближения при решении задачи №1.</dc:title>
  <dc:subject>Методы оптимизации</dc:subject>
  <dc:creator>ten_IG</dc:creator>
  <dc:description>4.04.2003 Исправлена ошибка в программе на листе4 и улучшено задание на листе5!!!</dc:description>
  <cp:lastModifiedBy>user</cp:lastModifiedBy>
  <cp:lastPrinted>2006-09-27T05:21:01Z</cp:lastPrinted>
  <dcterms:created xsi:type="dcterms:W3CDTF">2002-01-25T11:06:38Z</dcterms:created>
  <dcterms:modified xsi:type="dcterms:W3CDTF">2018-12-06T15:58:23Z</dcterms:modified>
  <cp:category>POVT-5-01</cp:category>
</cp:coreProperties>
</file>